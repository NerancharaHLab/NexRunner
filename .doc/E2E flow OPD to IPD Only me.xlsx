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00" yWindow="-21000" windowWidth="38400" windowHeight="21000" tabRatio="600" firstSheet="0" activeTab="2" autoFilterDateGrouping="1"/>
  </bookViews>
  <sheets>
    <sheet xmlns:r="http://schemas.openxmlformats.org/officeDocument/2006/relationships" name="Smoke Test Guidelines" sheetId="1" state="visible" r:id="rId1"/>
    <sheet xmlns:r="http://schemas.openxmlformats.org/officeDocument/2006/relationships" name="Smoke Test Execution" sheetId="2" state="visible" r:id="rId2"/>
    <sheet xmlns:r="http://schemas.openxmlformats.org/officeDocument/2006/relationships" name="OPD to IPD (Simple flow)" sheetId="3" state="visible" r:id="rId3"/>
    <sheet xmlns:r="http://schemas.openxmlformats.org/officeDocument/2006/relationships" name="Process Improvement Plan" sheetId="4" state="visible" r:id="rId4"/>
    <sheet xmlns:r="http://schemas.openxmlformats.org/officeDocument/2006/relationships" name="Bug Log" sheetId="5" state="visible" r:id="rId5"/>
    <sheet xmlns:r="http://schemas.openxmlformats.org/officeDocument/2006/relationships" name="Bug Dashboard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;\(#,##0\);&quot;-&quot;"/>
    <numFmt numFmtId="166" formatCode="0.0%"/>
  </numFmts>
  <fonts count="26">
    <font>
      <name val="Calibri"/>
      <family val="2"/>
      <color theme="1"/>
      <sz val="11"/>
      <scheme val="minor"/>
    </font>
    <font>
      <name val="Aptos"/>
      <b val="1"/>
      <color theme="1"/>
      <sz val="14"/>
    </font>
    <font>
      <name val="Calibri"/>
      <family val="2"/>
      <color theme="1"/>
      <sz val="14"/>
      <scheme val="minor"/>
    </font>
    <font>
      <name val="Aptos"/>
      <color theme="1"/>
      <sz val="14"/>
    </font>
    <font>
      <name val="Aptos"/>
      <color rgb="FF000000"/>
      <sz val="14"/>
    </font>
    <font>
      <name val="Calibri"/>
      <family val="2"/>
      <b val="1"/>
      <color rgb="FF1F3864"/>
      <sz val="14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rgb="FF1F3864"/>
      <sz val="12"/>
      <scheme val="minor"/>
    </font>
    <font>
      <name val="Segoe UI"/>
      <b val="1"/>
      <color rgb="FF1F4E79"/>
      <sz val="16"/>
    </font>
    <font>
      <name val="Segoe UI"/>
      <i val="1"/>
      <color rgb="FF595959"/>
      <sz val="11"/>
    </font>
    <font>
      <name val="Segoe UI"/>
      <b val="1"/>
      <color rgb="FFFFFFFF"/>
      <sz val="12"/>
    </font>
    <font>
      <name val="Segoe UI"/>
      <b val="1"/>
      <color rgb="FF000000"/>
      <sz val="10"/>
    </font>
    <font>
      <name val="Segoe UI"/>
      <color rgb="FF000000"/>
      <sz val="10"/>
    </font>
    <font>
      <name val="Segoe UI"/>
      <b val="1"/>
      <color rgb="FFFFFFFF"/>
      <sz val="11"/>
    </font>
    <font>
      <name val="Segoe UI"/>
      <b val="1"/>
      <color rgb="FFC00000"/>
      <sz val="10"/>
    </font>
    <font>
      <name val="Segoe UI"/>
      <b val="1"/>
      <color rgb="FF1F4E79"/>
      <sz val="10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FFFFFF"/>
      <sz val="12"/>
    </font>
    <font>
      <name val="Segoe UI"/>
      <color rgb="00000000"/>
      <sz val="10"/>
    </font>
    <font>
      <name val="Segoe UI"/>
      <b val="1"/>
      <color rgb="00000000"/>
      <sz val="10"/>
    </font>
    <font>
      <name val="Consolas"/>
      <color rgb="00002060"/>
      <sz val="9.5"/>
    </font>
    <font>
      <name val="Segoe UI"/>
      <b val="1"/>
      <color rgb="00856404"/>
      <sz val="10"/>
    </font>
    <font>
      <name val="Segoe UI"/>
      <b val="1"/>
      <color rgb="007030A0"/>
      <sz val="10"/>
    </font>
  </fonts>
  <fills count="13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3CD"/>
        <bgColor rgb="00FFF3CD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 wrapText="1"/>
    </xf>
    <xf numFmtId="164" fontId="0" fillId="3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7" fillId="4" borderId="1" pivotButton="0" quotePrefix="0" xfId="0"/>
    <xf numFmtId="165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3" fillId="6" borderId="0" applyAlignment="1" pivotButton="0" quotePrefix="0" xfId="0">
      <alignment horizontal="right" vertical="center"/>
    </xf>
    <xf numFmtId="0" fontId="14" fillId="0" borderId="2" applyAlignment="1" pivotButton="0" quotePrefix="0" xfId="0">
      <alignment horizontal="left" vertical="center"/>
    </xf>
    <xf numFmtId="0" fontId="15" fillId="5" borderId="3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14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4" fillId="11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4" applyAlignment="1" pivotButton="0" quotePrefix="0" xfId="0">
      <alignment horizontal="left" vertical="top" wrapText="1"/>
    </xf>
    <xf numFmtId="0" fontId="22" fillId="0" borderId="0" pivotButton="0" quotePrefix="0" xfId="0"/>
    <xf numFmtId="0" fontId="23" fillId="10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25" fillId="7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22" fillId="12" borderId="0" applyAlignment="1" pivotButton="0" quotePrefix="0" xfId="0">
      <alignment horizontal="right" vertical="center"/>
    </xf>
    <xf numFmtId="0" fontId="21" fillId="0" borderId="4" applyAlignment="1" pivotButton="0" quotePrefix="0" xfId="0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1F3864"/>
      </font>
      <fill>
        <patternFill patternType="solid">
          <fgColor indexed="64"/>
          <bgColor rgb="FFDDEBF7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style="49" min="1" max="1"/>
    <col width="14" customWidth="1" style="49" min="2" max="2"/>
    <col width="16" customWidth="1" style="49" min="3" max="3"/>
    <col width="25" customWidth="1" style="49" min="4" max="4"/>
    <col width="25" customWidth="1" style="49" min="5" max="5"/>
    <col width="25" customWidth="1" style="49" min="6" max="6"/>
    <col width="25" customWidth="1" style="49" min="7" max="7"/>
  </cols>
  <sheetData>
    <row r="1">
      <c r="A1" s="51" t="inlineStr">
        <is>
          <t>📖 ข้อกำหนดและแนวทางการใช้งาน (Smoke Test Instructions &amp; Guidelines)</t>
        </is>
      </c>
    </row>
    <row r="2">
      <c r="A2" s="52" t="inlineStr">
        <is>
          <t>คำแนะนำสำหรับทีมทดสอบ เพื่อความเข้าใจวัตถุประสงค์ การเก็บหลักฐาน การสรุปผลลง Linear และปัจจัยความสำเร็จ</t>
        </is>
      </c>
    </row>
    <row r="4" ht="28" customHeight="1" s="49">
      <c r="A4" s="53" t="inlineStr">
        <is>
          <t>🎯 1. วัตถุประสงค์และปัจจัยความสำเร็จ (Key Success Factors)</t>
        </is>
      </c>
    </row>
    <row r="5" ht="195" customHeight="1" s="49">
      <c r="A5" s="54" t="inlineStr">
        <is>
          <t>ทำไมต้องทำ Smoke Test ก่อนเปิด UAT?
Smoke Test มีเป้าหมายเพื่อ 'ตรวจสอบความพร้อมของระบบในภาพรวม (Quick Verification)' ว่า E2E Flow หลักทำงานได้ ไม่พังทลาย ก่อนที่จะปล่อยให้ผู้ใช้งานจริง (UAT Users) เข้ามาทดสอบ โดยมี 3 ปัจจัยความสำเร็จหลัก ได้แก่:
1. มี Data Chain Tracker บันทึกรหัสกลางร่วมกัน (Centralized Data Chain):
   - ในระบบ HIS ข้อมูลเชื่อมโยงกันข้ามแผนก (HN -&gt; VN -&gt; AN -&gt; Order ID -&gt; Bill No.) ทุกคนในทีมต้องใช้และลงบันทึกในตาราง Header เดียวกัน เพื่อให้เห็นการส่งต่อข้อมูลแบบ End-to-End จริง
2. โฟกัสการทดสอบแบบ Quick Check / Happy Path:
   - เน้นตรวจสอบตามขั้นตอนแบบย่อในตาราง ไม่ต้องจมกับ Edge Cases ในรอบนี้ หากเจอ Bug ติดขัดเกิน 5 นาที ให้ทำเครื่องหมาย FAIL/BLOCKED แล้วข้ามไปข้อถัดไปทันที เพื่อคุมเวลาให้อยู่ใน 45-60 นาที
3. กำหนด Go / No-Go Decision Gate ชัดเจนก่อนเปิด UAT:
   - Scenarios สำคัญระดับ Critical (เช่น SC-01 คัดกรอง, SC-05 จองเตียง, SC-07 IPD Orders, SC-14 Discharge ปิดบิล) ต้อง PASS 100% หากไม่ผ่าน ห้ามเปิดรอบ UAT เด็ดขาด</t>
        </is>
      </c>
      <c r="B5" s="57" t="n"/>
      <c r="C5" s="57" t="n"/>
      <c r="D5" s="57" t="n"/>
      <c r="E5" s="57" t="n"/>
      <c r="F5" s="57" t="n"/>
      <c r="G5" s="58" t="n"/>
    </row>
    <row r="7" ht="28" customHeight="1" s="49">
      <c r="A7" s="53" t="inlineStr">
        <is>
          <t>📸 2. รูปแบบการเก็บผลลัพธ์และหลักฐาน (Evidence &amp; Defect Tracking Guidelines)</t>
        </is>
      </c>
    </row>
    <row r="8" ht="180" customHeight="1" s="49">
      <c r="A8" s="54" t="inlineStr">
        <is>
          <t>1. การเก็บหลักฐานภาพถ่ายหน้าจอ (Key Milestone Screenshots):
   - ในรอบ Smoke Test ไม่จำเป็นต้องแคปหน้าจอทุกขั้นตอน ให้แคปเฉพาะ '4 จุดสำเร็จสำคัญ' เพื่อยืนยันความสมบูรณ์ของ E2E Flow:
     [1] OPD Visit Completed: หน้าจอส่ง Order OPD หรือสร้าง Admit Order สำเร็จ
     [2] IPD Admit &amp; Bed Occupied: ผังเตียงที่แสดงผู้ป่วยเข้าพักใน Ward สำเร็จ
     [3] MAR / Dispensed: หน้า e-MAR หรือหน้ายืนยันการจ่ายยาสำเร็จ
     [4] Discharge &amp; Bill Closed: ใบเสร็จรับเงินยอดสุดท้าย + สถานะจำหน่ายสำเร็จ
2. มาตรฐานการตั้งชื่อไฟล์ภาพ Bug (Defect Screenshot Naming Convention):
   - หากพบข้อผิดพลาด ให้แคปภาพหน้าจอและตั้งชื่อไฟล์ตามรูปแบบมาตรฐาน เพื่อให้ทีม Dev/QA สืบค้นได้ทันที:
     รูปแบบ: [ScenarioID]_[Role]_[ShortDescription]_[YYYYMMDD]
     ตัวอย่าง: SC05_BedAdmin_CannotGenerateAN_20260821.png
             SC09_Pharmacy_StockNotDeducted_20260821.png</t>
        </is>
      </c>
      <c r="B8" s="57" t="n"/>
      <c r="C8" s="57" t="n"/>
      <c r="D8" s="57" t="n"/>
      <c r="E8" s="57" t="n"/>
      <c r="F8" s="57" t="n"/>
      <c r="G8" s="58" t="n"/>
    </row>
    <row r="10" ht="28" customHeight="1" s="49">
      <c r="A10" s="53" t="inlineStr">
        <is>
          <t>📝 3. ตัวอย่างแบบฟอร์ม Dashboard สรุปผล ส่งใน Linear ก่อนเริ่ม UAT</t>
        </is>
      </c>
    </row>
    <row r="11" ht="22" customHeight="1" s="49">
      <c r="A11" s="55" t="inlineStr">
        <is>
          <t>เมื่อทดสอบเสร็จเรียบร้อยแล้ว ให้คัดลอก (Copy) ข้อความตามโครงสร้างด้านล่างนี้ ไปโพสต์สรุปผลใน Linear Issue / Requirement การทดสอบ ก่อนแจ้งเปิดรอบ UAT:</t>
        </is>
      </c>
    </row>
    <row r="12" ht="230" customHeight="1" s="49">
      <c r="A12" s="56" t="inlineStr">
        <is>
          <t>📢 [Smoke Test Summary Report] - Pre-UAT Verification Sign-off
🗓 Date: 2026-08-21 | Environment: STAGING / UAT | Run ID: SM-RUN-001
👤 Tester: [ระบุชื่อผู้ทดสอบ]
📊 Overall Status: 🟢 READY FOR UAT (Pass Rate: 94.1%)
• Total Scenarios: 17 Scenarios
• 🟢 Passed: 16 Scenarios
• 🔴 Failed: 1 Scenario (SC-15 Report PDF format alignment error - Non-critical)
• 🟡 Blocked: 0 Scenarios
🔗 Primary E2E Data Chain Tracked:
• HN: HN69001  |  VN: VN260012  |  AN: AN690088  |  Bill No: INV-551
⚠️ Open Defect / Issue Links:
• [Issue-102] SC-15 Report สรุปยอดตอนเย็น จัดหน้า PDF เหลื่อม (Assignee: DevTeam)
✅ Recommendation / Sign-off:
ระบบผ่านการตรวจความพร้อมหลักครบถ้วน อนุมัติเปิดให้ผู้ใช้งานทดสอบรอบ UAT ได้ตามกำหนดการ</t>
        </is>
      </c>
      <c r="B12" s="57" t="n"/>
      <c r="C12" s="57" t="n"/>
      <c r="D12" s="57" t="n"/>
      <c r="E12" s="57" t="n"/>
      <c r="F12" s="57" t="n"/>
      <c r="G12" s="58" t="n"/>
    </row>
  </sheetData>
  <mergeCells count="7">
    <mergeCell ref="A8:G8"/>
    <mergeCell ref="A12:G12"/>
    <mergeCell ref="A4:G4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E14" sqref="E14"/>
    </sheetView>
  </sheetViews>
  <sheetFormatPr baseColWidth="10" defaultColWidth="8.83203125" defaultRowHeight="15"/>
  <cols>
    <col width="12.83203125" customWidth="1" style="49" min="1" max="1"/>
    <col width="20" customWidth="1" style="49" min="2" max="2"/>
    <col width="22.5" customWidth="1" style="49" min="3" max="3"/>
    <col width="43.6640625" customWidth="1" style="49" min="4" max="4"/>
    <col width="20" customWidth="1" style="49" min="5" max="5"/>
    <col width="45" customWidth="1" style="49" min="6" max="6"/>
    <col width="35" customWidth="1" style="49" min="7" max="7"/>
    <col width="24.6640625" customWidth="1" style="49" min="8" max="8"/>
    <col width="25" customWidth="1" style="49" min="9" max="9"/>
  </cols>
  <sheetData>
    <row r="1" ht="23" customHeight="1" s="49">
      <c r="A1" s="33" t="inlineStr">
        <is>
          <t>🏥 Smoke Test Script &amp; Execution Tracker</t>
        </is>
      </c>
    </row>
    <row r="2" ht="16" customHeight="1" s="49">
      <c r="A2" s="34" t="inlineStr">
        <is>
          <t>การทดสอบความพร้อมแบบเร่งด่วน (Smoke Test) ครอบคลุม 17 Scenarios ครบถ้วนตาม E2E Flow OPD to IPD</t>
        </is>
      </c>
    </row>
    <row r="3" ht="24" customHeight="1" s="49">
      <c r="A3" s="50" t="inlineStr">
        <is>
          <t>⚠️ โปรดอ่านข้อกำหนด รูปแบบการเก็บหลักฐาน ปัจจัยความสำเร็จ และรูปแบบรายงาน Linear ที่ Sheet 'Smoke Test Guidelines' ก่อนเริ่มทำการทดสอบ</t>
        </is>
      </c>
    </row>
    <row r="4" ht="16" customHeight="1" s="49">
      <c r="A4" s="48" t="inlineStr">
        <is>
          <t>📌 ข้อมูลการทดสอบและสรุปผล (Test Run Information &amp; Data Chain Tracker)</t>
        </is>
      </c>
    </row>
    <row r="5">
      <c r="A5" s="61" t="inlineStr">
        <is>
          <t>Hospital Site:</t>
        </is>
      </c>
      <c r="B5" s="62" t="inlineStr">
        <is>
          <t>NUH (Naresuan University Hospital)</t>
        </is>
      </c>
      <c r="C5" s="61" t="inlineStr">
        <is>
          <t>System Version:</t>
        </is>
      </c>
      <c r="D5" s="62" t="inlineStr">
        <is>
          <t>v1.0.0</t>
        </is>
      </c>
      <c r="E5" s="61" t="inlineStr">
        <is>
          <t>Delivery Batch (งวดส่งงาน):</t>
        </is>
      </c>
      <c r="F5" s="62" t="inlineStr">
        <is>
          <t>งวดที่ 1</t>
        </is>
      </c>
      <c r="G5" s="61" t="inlineStr">
        <is>
          <t>Test Run ID:</t>
        </is>
      </c>
      <c r="H5" s="62" t="inlineStr">
        <is>
          <t>SM-RUN-001</t>
        </is>
      </c>
    </row>
    <row r="6">
      <c r="A6" s="61" t="inlineStr">
        <is>
          <t>Test Cycle:</t>
        </is>
      </c>
      <c r="B6" s="62" t="inlineStr">
        <is>
          <t>Cycle 1</t>
        </is>
      </c>
      <c r="C6" s="61" t="inlineStr">
        <is>
          <t>Date Executed:</t>
        </is>
      </c>
      <c r="D6" s="62" t="inlineStr">
        <is>
          <t>2026-08-21</t>
        </is>
      </c>
      <c r="E6" s="61" t="inlineStr">
        <is>
          <t>Environment:</t>
        </is>
      </c>
      <c r="F6" s="62" t="inlineStr">
        <is>
          <t>STAGING / UAT</t>
        </is>
      </c>
      <c r="G6" s="61" t="inlineStr">
        <is>
          <t>Tester Name:</t>
        </is>
      </c>
      <c r="H6" s="62" t="inlineStr">
        <is>
          <t>[ชื่อผู้ทดสอบ]</t>
        </is>
      </c>
    </row>
    <row r="7">
      <c r="A7" s="61" t="inlineStr">
        <is>
          <t>Primary HN:</t>
        </is>
      </c>
      <c r="B7" s="62" t="inlineStr">
        <is>
          <t>HN......</t>
        </is>
      </c>
      <c r="C7" s="61" t="inlineStr">
        <is>
          <t>Primary VN:</t>
        </is>
      </c>
      <c r="D7" s="62" t="inlineStr">
        <is>
          <t>VN......</t>
        </is>
      </c>
      <c r="E7" s="61" t="inlineStr">
        <is>
          <t>Primary AN:</t>
        </is>
      </c>
      <c r="F7" s="62" t="inlineStr">
        <is>
          <t>AN......</t>
        </is>
      </c>
      <c r="G7" s="61" t="inlineStr">
        <is>
          <t>Order IDs:</t>
        </is>
      </c>
      <c r="H7" s="62" t="inlineStr">
        <is>
          <t>ORD......</t>
        </is>
      </c>
    </row>
    <row r="8">
      <c r="A8" s="61" t="inlineStr">
        <is>
          <t>Bill No.:</t>
        </is>
      </c>
      <c r="B8" s="62" t="inlineStr">
        <is>
          <t>INV......</t>
        </is>
      </c>
      <c r="C8" s="61" t="inlineStr">
        <is>
          <t>Pass Count:</t>
        </is>
      </c>
      <c r="D8" s="62" t="inlineStr">
        <is>
          <t>0 / 17</t>
        </is>
      </c>
      <c r="E8" s="61" t="inlineStr">
        <is>
          <t>Overall Status:</t>
        </is>
      </c>
      <c r="F8" s="62" t="inlineStr">
        <is>
          <t>NOT STARTED</t>
        </is>
      </c>
    </row>
    <row r="9" ht="32" customHeight="1" s="49">
      <c r="A9" s="37" t="inlineStr">
        <is>
          <t>ลำดับ
(No.)</t>
        </is>
      </c>
      <c r="B9" s="37" t="inlineStr">
        <is>
          <t>ระบบ
(Flow)</t>
        </is>
      </c>
      <c r="C9" s="37" t="inlineStr">
        <is>
          <t>รหัสบททดสอบ
(Scenario ID)</t>
        </is>
      </c>
      <c r="D9" s="37" t="inlineStr">
        <is>
          <t>ขอบเขตและชื่อบททดสอบ
(Scenario Scope &amp; Name)</t>
        </is>
      </c>
      <c r="E9" s="37" t="inlineStr">
        <is>
          <t>ผู้ดำเนินการ
(Role / Actor)</t>
        </is>
      </c>
      <c r="F9" s="37" t="inlineStr">
        <is>
          <t>ขั้นตอนทดสอบแบบย่อ
(Quick Test Steps)</t>
        </is>
      </c>
      <c r="G9" s="37" t="inlineStr">
        <is>
          <t>เกณฑ์การผ่าน
(Expected Pass Criteria)</t>
        </is>
      </c>
      <c r="H9" s="37" t="inlineStr">
        <is>
          <t>ผลการทดสอบ
(Status)</t>
        </is>
      </c>
      <c r="I9" s="37" t="inlineStr">
        <is>
          <t>หมายเหตุ / เลข Bug
(Notes / Bug ID)</t>
        </is>
      </c>
    </row>
    <row r="10" ht="55" customHeight="1" s="49">
      <c r="A10" s="38" t="n">
        <v>1</v>
      </c>
      <c r="B10" s="39" t="inlineStr">
        <is>
          <t>OPD</t>
        </is>
      </c>
      <c r="C10" s="40" t="inlineStr">
        <is>
          <t>SC-01</t>
        </is>
      </c>
      <c r="D10" s="41" t="inlineStr">
        <is>
          <t>ลงทะเบียน คัดกรอง ก่อนเข้าตรวจ OPD
(ผู้ป่วย Walk-in ลงทะเบียนแล้วถูกส่งต่อไปแผนกคัดกรอง และ เข้าคิว OPD)</t>
        </is>
      </c>
      <c r="E10" s="41" t="inlineStr">
        <is>
          <t>เวชระเบียน /
พยาบาลคัดกรอง /
พยาบาล OPD</t>
        </is>
      </c>
      <c r="F10" s="41" t="inlineStr">
        <is>
          <t>1. ค้นหา/สร้าง HN -&gt; ลงทะเบียน Visit -&gt; พิมพ์ใบนำทาง
2. พยาบาลคัดกรองดู tab 'คำขอ Walk-in' -&gt; บันทึก Vital Sign -&gt; เลือกแพทย์/นัด -&gt; พิมพ์บัตรคิว
3. คิวขึ้น tab 'รอเช็คอิน' -&gt; กด Check-in -&gt; กดเรียกคิว -&gt; กด 'พร้อมตรวจ'</t>
        </is>
      </c>
      <c r="G10" s="41" t="inlineStr">
        <is>
          <t>สถานะผู้ป่วยเปลี่ยนเป็น 'กำลังดำเนินการ' และคิวแสดงหน้าห้องตรวจ</t>
        </is>
      </c>
      <c r="H10" s="40" t="inlineStr">
        <is>
          <t>Not Run</t>
        </is>
      </c>
      <c r="I10" s="41" t="n"/>
    </row>
    <row r="11" ht="55" customHeight="1" s="49">
      <c r="A11" s="42" t="n">
        <v>2</v>
      </c>
      <c r="B11" s="43" t="inlineStr">
        <is>
          <t>OPD</t>
        </is>
      </c>
      <c r="C11" s="44" t="inlineStr">
        <is>
          <t>SC-02 [A]</t>
        </is>
      </c>
      <c r="D11" s="45" t="inlineStr">
        <is>
          <t>แพทย์ตรวจ + วินิจฉัย + สั่ง Order (Lab/X-ray/ยา)
(พยาบาลหน้าห้องตรวจกดเรียกคิว ตรวจผู้ป่วย OPD พร้อมกัน เพื่อเข้าห้องตรวจ แล้วสั่ง Order)</t>
        </is>
      </c>
      <c r="E11" s="45" t="inlineStr">
        <is>
          <t>แพทย์ OPD /
พยาบาลหน้าห้องตรวจ</t>
        </is>
      </c>
      <c r="F11" s="45" t="inlineStr">
        <is>
          <t>1. พยาบาลกดเรียกคิวเข้าห้องตรวจ
2. แพทย์เปิด EMR เปลี่ยนสถานะ 'พร้อม' -&gt; บันทึก Diagnosis (ICD-10)
3. สั่ง Order ครบ 3 ชนิด (Lab + X-ray + ยา) ลงตะกร้า -&gt; กด 'ส่งคำสั่ง' (Submit Order)</t>
        </is>
      </c>
      <c r="G11" s="45" t="inlineStr">
        <is>
          <t>ส่ง Order ทั้งหมดสำเร็จในครั้งเดียว และสถานะผู้ป่วยเปลี่ยนเป็น 'พักการตรวจ'</t>
        </is>
      </c>
      <c r="H11" s="44" t="inlineStr">
        <is>
          <t>Not Run</t>
        </is>
      </c>
      <c r="I11" s="45" t="n"/>
    </row>
    <row r="12" ht="55" customHeight="1" s="49">
      <c r="A12" s="38" t="n">
        <v>3</v>
      </c>
      <c r="B12" s="39" t="inlineStr">
        <is>
          <t>OPD</t>
        </is>
      </c>
      <c r="C12" s="40" t="inlineStr">
        <is>
          <t>SC-03</t>
        </is>
      </c>
      <c r="D12" s="41" t="inlineStr">
        <is>
          <t>ส่ง Lab/X-ray -&gt; รับผล -&gt; แพทย์อ่านผลต่อ
(ระบบส่ง Order ไปห้อง Lab/X-ray และประมวลผล Lab/X-ray พร้อมแพทย์อ่านผลกลับเข้าตรวจต่อ)</t>
        </is>
      </c>
      <c r="E12" s="41" t="inlineStr">
        <is>
          <t>จนท. Lab /
แพทย์ OPD</t>
        </is>
      </c>
      <c r="F12" s="41" t="inlineStr">
        <is>
          <t>1. จนท. Lab เช็คอินรายการ -&gt; เก็บตัวอย่าง (Container) -&gt; ยืนยัน -&gt; ลงผล Lab -&gt; กด Final Report
2. แพทย์เปิด EMR ดูผล -&gt; เปลี่ยนสถานะ 'พร้อม' -&gt; สั่งยาเพิ่ม/นัดหมาย/ออกใบรับรองแพทย์ -&gt; กด 'ตรวจเสร็จ'</t>
        </is>
      </c>
      <c r="G12" s="41" t="inlineStr">
        <is>
          <t>ผล Lab ออกสมบูรณ์ และแพทย์เปลี่ยนสถานะผู้ป่วยเป็น 'ตรวจเสร็จ'</t>
        </is>
      </c>
      <c r="H12" s="40" t="inlineStr">
        <is>
          <t>Not Run</t>
        </is>
      </c>
      <c r="I12" s="41" t="n"/>
    </row>
    <row r="13" ht="55" customHeight="1" s="49">
      <c r="A13" s="42" t="n">
        <v>4</v>
      </c>
      <c r="B13" s="43" t="inlineStr">
        <is>
          <t>OPD</t>
        </is>
      </c>
      <c r="C13" s="44" t="inlineStr">
        <is>
          <t>SC-04</t>
        </is>
      </c>
      <c r="D13" s="45" t="inlineStr">
        <is>
          <t>เภสัชกรรม (สร้างใบยา) -&gt; ชำระเงิน -&gt; เภสัชกรรม จ่ายยา -&gt; การเงินปิด Visit
(เภสัชกรสร้างใบยาส่งต่อการเงินชำระเงินแล้วเภสัชกรจ่ายยาปิด Visit ให้ผู้ป่วย OPD)</t>
        </is>
      </c>
      <c r="E13" s="45" t="inlineStr">
        <is>
          <t>เภสัชกร OPD /
การเงิน</t>
        </is>
      </c>
      <c r="F13" s="45" t="inlineStr">
        <is>
          <t>1. เภสัชกรตรวจใบสั่งยา -&gt; กด 'สร้างใบยา' -&gt; กด 'ยืนยันใบยา' (ตัด Stock)
2. การเงินออกใบแจ้งหนี้ -&gt; รับชำระเงิน -&gt; พิมพ์ใบเสร็จ -&gt; กด 'เสร็จสิ้น'
3. เภสัชกรเห็นสถานะ 'ชำระเงินแล้ว' -&gt; พิมพ์ฉลากยา/จัดยา -&gt; กด 'จ่ายยา' + เรียกคิว</t>
        </is>
      </c>
      <c r="G13" s="45" t="inlineStr">
        <is>
          <t>ตัด Stock ยาสำเร็จ ออกใบเสร็จเรียบร้อย และปิด Visit OPD สมบูรณ์</t>
        </is>
      </c>
      <c r="H13" s="44" t="inlineStr">
        <is>
          <t>Not Run</t>
        </is>
      </c>
      <c r="I13" s="45" t="n"/>
    </row>
    <row r="14" ht="55" customHeight="1" s="49">
      <c r="A14" s="38" t="n">
        <v>5</v>
      </c>
      <c r="B14" s="46" t="inlineStr">
        <is>
          <t>IPD</t>
        </is>
      </c>
      <c r="C14" s="40" t="inlineStr">
        <is>
          <t>SC-02 [B]</t>
        </is>
      </c>
      <c r="D14" s="41" t="inlineStr">
        <is>
          <t>แพทย์วินิจฉัยแล้วสั่ง Admit โดยไม่มี Order
(แพทย์วินิจฉัยแล้วสั่ง Admit ผู้ป่วย OPD เข้า IPD ทันทีโดยไม่สั่ง Order)</t>
        </is>
      </c>
      <c r="E14" s="41" t="inlineStr">
        <is>
          <t>แพทย์ OPD /
พยาบาล</t>
        </is>
      </c>
      <c r="F14" s="41" t="inlineStr">
        <is>
          <t>1. พยาบาลเรียกคิว -&gt; แพทย์เปิด EMR เปลี่ยนสถานะ 'พร้อม' -&gt; ลงวินิจฉัย OPD Note
2. แพทย์ประเมิน 'ต้อง Admit' -&gt; กดปุ่ม 'สร้าง Admit Order' จาก EMR -&gt; กรอกฟอร์ม -&gt; Save</t>
        </is>
      </c>
      <c r="G14" s="41" t="inlineStr">
        <is>
          <t>สถานะผู้ป่วยเปลี่ยนเป็น 'รอ Admit' และคำขอส่งไปศูนย์จัดการเตียง</t>
        </is>
      </c>
      <c r="H14" s="40" t="inlineStr">
        <is>
          <t>Not Run</t>
        </is>
      </c>
      <c r="I14" s="41" t="n"/>
    </row>
    <row r="15" ht="55" customHeight="1" s="49">
      <c r="A15" s="42" t="n">
        <v>6</v>
      </c>
      <c r="B15" s="47" t="inlineStr">
        <is>
          <t>IPD</t>
        </is>
      </c>
      <c r="C15" s="44" t="inlineStr">
        <is>
          <t>SC-05</t>
        </is>
      </c>
      <c r="D15" s="45" t="inlineStr">
        <is>
          <t>จองเตียง -&gt; สร้าง AN (ต่อเนื่องจาก Scenario 2 [B])
(จนท.เตียงจองเตียงและสร้าง AN ให้ผู้ป่วย Admit)</t>
        </is>
      </c>
      <c r="E15" s="45" t="inlineStr">
        <is>
          <t>จนท. ศูนย์จัดการเตียง</t>
        </is>
      </c>
      <c r="F15" s="45" t="inlineStr">
        <is>
          <t>1. เข้าเมนู ศูนย์จัดการเตียง -&gt; tab 'คำขอ Admit' -&gt; ค้นหาผู้ป่วย -&gt; กด 'จองเตียง'
2. เลือกวอร์ด/ประเภทเตียง/เตียง จากผังเตียง -&gt; กดบันทึก
3. กลับ tab 'คำขอ Admit' -&gt; กดปุ่ม 'สร้าง AN'</t>
        </is>
      </c>
      <c r="G15" s="45" t="inlineStr">
        <is>
          <t>ระบบ Generate AN สำเร็จ ข้อมูลย้ายไปแสดงใน tab 'AN'</t>
        </is>
      </c>
      <c r="H15" s="44" t="inlineStr">
        <is>
          <t>Not Run</t>
        </is>
      </c>
      <c r="I15" s="45" t="n"/>
    </row>
    <row r="16" ht="55" customHeight="1" s="49">
      <c r="A16" s="38" t="n">
        <v>7</v>
      </c>
      <c r="B16" s="46" t="inlineStr">
        <is>
          <t>IPD</t>
        </is>
      </c>
      <c r="C16" s="40" t="inlineStr">
        <is>
          <t>SC-06</t>
        </is>
      </c>
      <c r="D16" s="41" t="inlineStr">
        <is>
          <t>ผู้ป่วยใน -&gt; รายการเตียง หอผู้ป่วยใน
(พยาบาล Ward เปิดรายการเตียงหอผู้ป่วยในและบันทึกเวลาผู้ป่วยมาถึงวอร์ด)</t>
        </is>
      </c>
      <c r="E16" s="41" t="inlineStr">
        <is>
          <t>พยาบาล Ward</t>
        </is>
      </c>
      <c r="F16" s="41" t="inlineStr">
        <is>
          <t>1. เข้าเมนู ผู้ป่วยใน -&gt; รายการเตียง -&gt; เลือก Ward -&gt; กด ส่ง
2. ไปที่ tab 'เตียงทั้งหมด' -&gt; เลือกผู้ป่วย -&gt; กด 3 จุด -&gt; เลือก 'บันทึกมาถึงวอร์ด' -&gt; บันทึกเวลา</t>
        </is>
      </c>
      <c r="G16" s="41" t="inlineStr">
        <is>
          <t>บันทึกเวลาผู้ป่วยมาถึงวอร์ดสำเร็จ ผู้ป่วยแสดงสถานะพร้อมรับการดูแลบน Ward</t>
        </is>
      </c>
      <c r="H16" s="40" t="inlineStr">
        <is>
          <t>Not Run</t>
        </is>
      </c>
      <c r="I16" s="41" t="n"/>
    </row>
    <row r="17" ht="55" customHeight="1" s="49">
      <c r="A17" s="42" t="n">
        <v>8</v>
      </c>
      <c r="B17" s="47" t="inlineStr">
        <is>
          <t>IPD</t>
        </is>
      </c>
      <c r="C17" s="44" t="inlineStr">
        <is>
          <t>SC-07</t>
        </is>
      </c>
      <c r="D17" s="45" t="inlineStr">
        <is>
          <t>แพทย์ตรวจ + วินิจฉัย + สั่ง Order (Lab/X-ray/ยา)
(แพทย์ Round ตรวจและสั่ง Order ยา/Lab/X-ray แบบ ONE DAY และ CONTINUE ให้ผู้ป่วย IPD)</t>
        </is>
      </c>
      <c r="E17" s="45" t="inlineStr">
        <is>
          <t>แพทย์ IPD</t>
        </is>
      </c>
      <c r="F17" s="45" t="inlineStr">
        <is>
          <t>1. เปิด EMR IPD (ค้นด้วย AN) -&gt; เข้าเมนู 'IPD Summary' -&gt; บันทึก Progress Note
2. เข้า tab 'Physician Order' -&gt; สั่งออเดอร์ทั้ง 'One Day Order' และ 'Continue Order'
3. กด บันทึก -&gt; กดปุ่ม 'Sign All'</t>
        </is>
      </c>
      <c r="G17" s="45" t="inlineStr">
        <is>
          <t>Order แสดงใน tab IPD Summary แยกกลุ่ม One Day / Continue ชัดเจน Status = 'รอรับ'</t>
        </is>
      </c>
      <c r="H17" s="44" t="inlineStr">
        <is>
          <t>Not Run</t>
        </is>
      </c>
      <c r="I17" s="45" t="n"/>
    </row>
    <row r="18" ht="55" customHeight="1" s="49">
      <c r="A18" s="38" t="n">
        <v>9</v>
      </c>
      <c r="B18" s="46" t="inlineStr">
        <is>
          <t>IPD</t>
        </is>
      </c>
      <c r="C18" s="40" t="inlineStr">
        <is>
          <t>SC-08</t>
        </is>
      </c>
      <c r="D18" s="41" t="inlineStr">
        <is>
          <t>พยาบาลตรวจสอบ Order ยา และ Confirm รายการยา
(พยาบาลตรวจสอบและ Confirm รายการยาผู้ป่วย IPD แพทย์สั่ง Order ทั้งแบบ ONE DAY และ CONTINUE)</t>
        </is>
      </c>
      <c r="E18" s="41" t="inlineStr">
        <is>
          <t>พยาบาล Ward</t>
        </is>
      </c>
      <c r="F18" s="41" t="inlineStr">
        <is>
          <t>1. เข้าเมนู ผู้ป่วยใน -&gt; รายการเตียง -&gt; เลือก Ward -&gt; เปิดหน้า 'Patient IPD Summary'
2. ตรวจสอบคอลัมน์ 'ORDER FOR ONE DAY' และ 'NEW ORDER FOR CONTINUE'
3. ตรวจสอบชื่อยา/ขนาด/วิธีใช้ -&gt; กดปุ่ม 'รับออเดอร์' ทุกรายการ</t>
        </is>
      </c>
      <c r="G18" s="41" t="inlineStr">
        <is>
          <t>สถานะ Order เปลี่ยนเป็นรับออเดอร์แล้ว และรายการถูกส่งไปห้องยา IPD</t>
        </is>
      </c>
      <c r="H18" s="40" t="inlineStr">
        <is>
          <t>Not Run</t>
        </is>
      </c>
      <c r="I18" s="41" t="n"/>
    </row>
    <row r="19" ht="55" customHeight="1" s="49">
      <c r="A19" s="42" t="n">
        <v>10</v>
      </c>
      <c r="B19" s="47" t="inlineStr">
        <is>
          <t>IPD</t>
        </is>
      </c>
      <c r="C19" s="44" t="inlineStr">
        <is>
          <t>SC-09</t>
        </is>
      </c>
      <c r="D19" s="45" t="inlineStr">
        <is>
          <t>เภสัชกรรมจ่ายยา IPD [ONE DAY] (สร้างใบยา) -&gt; ชำระเงิน -&gt; เภสัชกรรม จ่ายยา -&gt; พยาบาล Ward
(เภสัชกรจ่ายยาผู้ป่วย IPD พร้อมกัน X ราย แยกตามประเภท Order ONE DAY และต้องชำระเงิน)</t>
        </is>
      </c>
      <c r="E19" s="45" t="inlineStr">
        <is>
          <t>เภสัชกร IPD /
การเงิน /
พยาบาล Ward</t>
        </is>
      </c>
      <c r="F19" s="45" t="inlineStr">
        <is>
          <t>1. เภสัชกรเข้า tab 'Order รอยืนยัน' -&gt; ตรวจสอบยา One Day -&gt; กด 'สร้างใบยา' (พิมพ์ฉลาก auto) -&gt; ยืนยันใบยา
2. การเงินออกใบแจ้งหนี้ -&gt; รับชำระเงิน
3. เภสัชกรเห็นสถานะ 'ชำระเงินแล้ว' -&gt; จัดยา -&gt; กด 'จ่ายยา'</t>
        </is>
      </c>
      <c r="G19" s="45" t="inlineStr">
        <is>
          <t>รายการยา One Day วิ่งไปแสดงบน e-MAR ของพยาบาล Ward พร้อมจ่ายยา</t>
        </is>
      </c>
      <c r="H19" s="44" t="inlineStr">
        <is>
          <t>Not Run</t>
        </is>
      </c>
      <c r="I19" s="45" t="n"/>
    </row>
    <row r="20" ht="55" customHeight="1" s="49">
      <c r="A20" s="38" t="n">
        <v>11</v>
      </c>
      <c r="B20" s="46" t="inlineStr">
        <is>
          <t>IPD</t>
        </is>
      </c>
      <c r="C20" s="40" t="inlineStr">
        <is>
          <t>SC-10</t>
        </is>
      </c>
      <c r="D20" s="41" t="inlineStr">
        <is>
          <t>เภสัชกรรมจ่ายยา IPD [CONTINUE] (สร้างใบยา) -&gt; เภสัชกรรม จ่ายยา -&gt; พยาบาล Ward
(เภสัชกรจ่ายยาผู้ป่วย IPD พร้อมกัน X ราย แยกตามประเภท CONTINUE โดยไม่รอการชำระเงิน)</t>
        </is>
      </c>
      <c r="E20" s="41" t="inlineStr">
        <is>
          <t>เภสัชกร IPD /
พยาบาล Ward</t>
        </is>
      </c>
      <c r="F20" s="41" t="inlineStr">
        <is>
          <t>1. เภสัชกรเข้าเมนู 'รับ Continue Order ประจำวัน' -&gt; เลือก Ward -&gt; กด ค้นหา
2. กดปุ่ม 'Generate ที่เลือก' -&gt; ระบบสร้างใบยา Continue
3. พิมพ์ฉลากยา -&gt; กด 'จ่ายยา' (ไม่ต้องรอชำระเงิน)</t>
        </is>
      </c>
      <c r="G20" s="41" t="inlineStr">
        <is>
          <t>รายการยา Continue ประจำวันถูก Generate และแสดงบน e-MAR ของ Ward ทันที</t>
        </is>
      </c>
      <c r="H20" s="40" t="inlineStr">
        <is>
          <t>Not Run</t>
        </is>
      </c>
      <c r="I20" s="41" t="n"/>
    </row>
    <row r="21" ht="55" customHeight="1" s="49">
      <c r="A21" s="42" t="n">
        <v>12</v>
      </c>
      <c r="B21" s="47" t="inlineStr">
        <is>
          <t>IPD</t>
        </is>
      </c>
      <c r="C21" s="44" t="inlineStr">
        <is>
          <t>SC-11</t>
        </is>
      </c>
      <c r="D21" s="45" t="inlineStr">
        <is>
          <t>จนท. Lab check-in + ลงผล + แพทย์อ่านผล
(จนท. Lab ดำเนินการตรวจและบันทึกผลผู้ป่วย IPD ตามประเภท Order ONE DAY)</t>
        </is>
      </c>
      <c r="E21" s="45" t="inlineStr">
        <is>
          <t>จนท. Lab /
แพทย์ IPD</t>
        </is>
      </c>
      <c r="F21" s="45" t="inlineStr">
        <is>
          <t>1. จนท. Lab เข้า รายการแล็บ -&gt; tab 'รอเช็คอิน' -&gt; กด เช็คอิน -&gt; เลือกประเภทตัวอย่าง -&gt; กด เก็บแล้ว (Container) -&gt; กด รับแล้ว
2. ลงผล Lab -&gt; บันทึกร่าง -&gt; กด Final Report
3. แพทย์เปิด Patient Profile IPD -&gt; เมนู Lab result เพื่อดูผล</t>
        </is>
      </c>
      <c r="G21" s="45" t="inlineStr">
        <is>
          <t>สถานะ Lab Task = 'เสร็จสิ้น' (Result completed) และแพทย์เห็นผลในระบบ</t>
        </is>
      </c>
      <c r="H21" s="44" t="inlineStr">
        <is>
          <t>Not Run</t>
        </is>
      </c>
      <c r="I21" s="45" t="n"/>
    </row>
    <row r="22" ht="55" customHeight="1" s="49">
      <c r="A22" s="38" t="n">
        <v>13</v>
      </c>
      <c r="B22" s="46" t="inlineStr">
        <is>
          <t>IPD</t>
        </is>
      </c>
      <c r="C22" s="40" t="inlineStr">
        <is>
          <t>SC-12</t>
        </is>
      </c>
      <c r="D22" s="41" t="inlineStr">
        <is>
          <t>จนท. Xray check-in + ลงผล + แพทย์อ่านผล
(จนท. Xray ดำเนินการตรวจและบันทึกผลผู้ป่วย IPD พร้อมกัน X ราย แยกตามประเภท Order ONE DAY)</t>
        </is>
      </c>
      <c r="E22" s="41" t="inlineStr">
        <is>
          <t>จนท. X-ray /
พยาบาล /
แพทย์อ่านผล</t>
        </is>
      </c>
      <c r="F22" s="41" t="inlineStr">
        <is>
          <t>1. จนท. X-ray ไป tab 'รอ Check-in' -&gt; เช็คอิน -&gt; กด 'เริ่มถ่ายภาพ' -&gt; กด 'ถ่ายภาพแล้ว' -&gt; เลือกแพทย์อ่านผล
2. พยาบาลลงบันทึก Nurse Note / Imaging Nurse Note
3. แพทย์ลงรายงานผลตรวจรังสี -&gt; กด บันทึก</t>
        </is>
      </c>
      <c r="G22" s="41" t="inlineStr">
        <is>
          <t>สถานะ Log = อ่านผล และรายงานผลรังสีแสดงใน EMR สมบูรณ์</t>
        </is>
      </c>
      <c r="H22" s="40" t="inlineStr">
        <is>
          <t>Not Run</t>
        </is>
      </c>
      <c r="I22" s="41" t="n"/>
    </row>
    <row r="23" ht="55" customHeight="1" s="49">
      <c r="A23" s="42" t="n">
        <v>14</v>
      </c>
      <c r="B23" s="47" t="inlineStr">
        <is>
          <t>IPD</t>
        </is>
      </c>
      <c r="C23" s="44" t="inlineStr">
        <is>
          <t>SC-13</t>
        </is>
      </c>
      <c r="D23" s="45" t="inlineStr">
        <is>
          <t>การเงินเรียกเก็บระหว่างพักรักษา (Interim Billing)
(ญาติผู้ป่วยชำระค่ารักษาสะสมของผู้ป่วย IPD ทุก 3 วัน ตลอดช่วงพักรักษาในโรงพยาบาล)</t>
        </is>
      </c>
      <c r="E23" s="45" t="inlineStr">
        <is>
          <t>การเงิน (Cashier IPD)</t>
        </is>
      </c>
      <c r="F23" s="45" t="inlineStr">
        <is>
          <t>1. เข้าเมนู Cashier ค้นหาผู้ป่วย IPD -&gt; ดูรายการค่าใช้จ่ายสะสม (ยา/Lab/X-ray/ค่าห้อง)
2. ตรวจสอบสิทธิ -&gt; เลือกรายการค่าใช้จ่าย -&gt; กด 'สร้างใบแจ้งหนี้' (Interim Bill)
3. เลือกสิทธิ/วิธีชำระ -&gt; กด จ่าย + ยืนยัน</t>
        </is>
      </c>
      <c r="G23" s="45" t="inlineStr">
        <is>
          <t>ระบบหักยอดชำระแล้วออกจากยอดค้างสะสม และตั้งรอบบันทึกใหม่สำหรับรอบถัดไป</t>
        </is>
      </c>
      <c r="H23" s="44" t="inlineStr">
        <is>
          <t>Not Run</t>
        </is>
      </c>
      <c r="I23" s="45" t="n"/>
    </row>
    <row r="24" ht="55" customHeight="1" s="49">
      <c r="A24" s="38" t="n">
        <v>15</v>
      </c>
      <c r="B24" s="46" t="inlineStr">
        <is>
          <t>IPD</t>
        </is>
      </c>
      <c r="C24" s="40" t="inlineStr">
        <is>
          <t>SC-14</t>
        </is>
      </c>
      <c r="D24" s="41" t="inlineStr">
        <is>
          <t>Discharge Process (ปิดยอดครั้งสุดท้าย)
(แพทย์อนุมัติจำหน่ายผู้ป่วย IPD แล้วจนท.การเงินปิด Bill ยอดคงเหลือทั้งหมดและปลดเตียงคืนระบบ)</t>
        </is>
      </c>
      <c r="E24" s="41" t="inlineStr">
        <is>
          <t>แพทย์ IPD /
การเงิน IPD</t>
        </is>
      </c>
      <c r="F24" s="41" t="inlineStr">
        <is>
          <t>1. แพทย์บันทึก Discharge Summary + ลงวินิจฉัยสุดท้าย + สั่งยากลับบ้าน -&gt; กด ยืนยัน Discharge
2. การเงินเปิดรายการ IPD รอปิด Bill -&gt; ออกใบแจ้งหนี้ยอดสุดท้าย -&gt; กด จ่าย + ยืนยัน -&gt; ออกใบเสร็จ
3. การเงินกดปุ่ม 'ปิด Admission'</t>
        </is>
      </c>
      <c r="G24" s="41" t="inlineStr">
        <is>
          <t>รายชื่อผู้ป่วยย้ายไป tab 'ผู้ป่วยจำหน่าย' (Status = เสร็จสิ้น) และปลดเตียงคืนระบบสำเร็จ</t>
        </is>
      </c>
      <c r="H24" s="40" t="inlineStr">
        <is>
          <t>Not Run</t>
        </is>
      </c>
      <c r="I24" s="41" t="n"/>
    </row>
    <row r="25" ht="55" customHeight="1" s="49">
      <c r="A25" s="42" t="n">
        <v>16</v>
      </c>
      <c r="B25" s="59" t="inlineStr">
        <is>
          <t>OPD / IPD</t>
        </is>
      </c>
      <c r="C25" s="44" t="inlineStr">
        <is>
          <t>SC-15</t>
        </is>
      </c>
      <c r="D25" s="45" t="inlineStr">
        <is>
          <t>จนท. จากทุกแผนกเข้าสั่งพิมพ์ report จากเมนู รายงาน
(เจ้าหน้าที่แต่ละแผนกละคน เข้ามาออกรายงานที่เมนูออกรายงาน)</t>
        </is>
      </c>
      <c r="E25" s="45" t="inlineStr">
        <is>
          <t>จนท. ทุกแผนก</t>
        </is>
      </c>
      <c r="F25" s="45" t="inlineStr">
        <is>
          <t>1. เข้าเมนู รายงาน (Report) -&gt; เลือกประเภทรายงานตามแผนก
2. ทดสอบกด สั่งพิมพ์ (Print) สรุปยอด
3. ทดสอบกด ดาวน์โหลด (Download) สรุปยอด</t>
        </is>
      </c>
      <c r="G25" s="45" t="inlineStr">
        <is>
          <t>สั่งออกรายงานได้สำเร็จ ข้อมูลในไฟล์ PDF/Excel ถูกต้องครบถ้วน</t>
        </is>
      </c>
      <c r="H25" s="44" t="inlineStr">
        <is>
          <t>Not Run</t>
        </is>
      </c>
      <c r="I25" s="45" t="n"/>
    </row>
    <row r="26" ht="55" customHeight="1" s="49">
      <c r="A26" s="38" t="n">
        <v>17</v>
      </c>
      <c r="B26" s="60" t="inlineStr">
        <is>
          <t>OPD / IPD</t>
        </is>
      </c>
      <c r="C26" s="40" t="inlineStr">
        <is>
          <t>SC-16</t>
        </is>
      </c>
      <c r="D26" s="41" t="inlineStr">
        <is>
          <t>จนท. Coder เข้าเมนู เบิกจ่าย เพื่อลงรหัสโรค
(เจ้าหน้าที่แผนก Coder เข้ามาลงรหัสโรคของผู้ป่วย)</t>
        </is>
      </c>
      <c r="E26" s="41" t="inlineStr">
        <is>
          <t>จนท. Coder</t>
        </is>
      </c>
      <c r="F26" s="41" t="inlineStr">
        <is>
          <t>1. เข้าเมนู เบิกจ่าย -&gt; OPD/IPD -&gt; รายการรอรหัสโรค -&gt; เลือกผู้ป่วยสถานะ 'รอลงรหัส'
2. ไปที่ Patient Profile -&gt; เลือก Diagnosis + Procedure -&gt; กด บันทึก
3. กดปุ่ม '&gt;' เพื่อลงรหัสคนถัดไป</t>
        </is>
      </c>
      <c r="G26" s="41" t="inlineStr">
        <is>
          <t>สถานะผู้ป่วยเปลี่ยนเป็น 'ลงรหัสแล้ว' และย้ายไปแสดงใน tab ลงรหัสแล้ว</t>
        </is>
      </c>
      <c r="H26" s="40" t="inlineStr">
        <is>
          <t>Not Run</t>
        </is>
      </c>
      <c r="I26" s="41" t="n"/>
    </row>
  </sheetData>
  <mergeCells count="2">
    <mergeCell ref="A4:I4"/>
    <mergeCell ref="A3:I3"/>
  </mergeCells>
  <dataValidations count="7">
    <dataValidation sqref="H10:H26" showDropDown="0" showInputMessage="0" showErrorMessage="0" allowBlank="1" type="list">
      <formula1>"Not Run, Passed, Failed, Blocked"</formula1>
    </dataValidation>
    <dataValidation sqref="B5" showDropDown="0" showInputMessage="0" showErrorMessage="0" allowBlank="1" type="list">
      <formula1>"NUH (Naresuan University Hospital), Standard E2E Flow, General Hospital, Custom Site"</formula1>
    </dataValidation>
    <dataValidation sqref="B5" showDropDown="0" showInputMessage="0" showErrorMessage="0" allowBlank="1" type="list">
      <formula1>"NUH (Naresuan University Hospital), SBH Hospital, TMH Hospital, Siriraj Hospital, Standard E2E Flow, Custom Site"</formula1>
    </dataValidation>
    <dataValidation sqref="B5" showDropDown="0" showInputMessage="0" showErrorMessage="0" allowBlank="1" type="list">
      <formula1>"NUH (Naresuan University Hospital), SBH (โรงพยาบาลสระบุรี), TMH (โรงพยาบาลเวชศาสตร์เขตร้อน), Siriraj Hospital, Standard E2E Flow, Custom Site"</formula1>
    </dataValidation>
    <dataValidation sqref="B5" showDropDown="0" showInputMessage="0" showErrorMessage="0" allowBlank="1" type="list">
      <formula1>"NUH (Naresuan University Hospital), Standard (General Hospital), SBH (โรงพยาบาลสระบุรี), TMH (โรงพยาบาลเวชศาสตร์เขตร้อน), Custom Site"</formula1>
    </dataValidation>
    <dataValidation sqref="B7" showDropDown="0" showInputMessage="0" showErrorMessage="0" allowBlank="1" type="list">
      <formula1>"STAGING / UAT, DEVELOPMENT (DEV), PRE-PROD, PRODUCTION (PROD), Custom Environment"</formula1>
    </dataValidation>
    <dataValidation sqref="B7" showDropDown="0" showInputMessage="0" showErrorMessage="0" allowBlank="1" type="list">
      <formula1>"STAGING, UAT, DEVELOPMENT (DEV), PRE-PROD, PRODUCTION (PROD), Custom Environment"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topLeftCell="C1" workbookViewId="0">
      <selection activeCell="E149" sqref="E149"/>
    </sheetView>
  </sheetViews>
  <sheetFormatPr baseColWidth="10" defaultColWidth="8.83203125" defaultRowHeight="15"/>
  <cols>
    <col width="7.33203125" bestFit="1" customWidth="1" style="49" min="1" max="1"/>
    <col width="20" bestFit="1" customWidth="1" style="49" min="2" max="2"/>
    <col width="100.5" bestFit="1" customWidth="1" style="49" min="3" max="3"/>
    <col width="100.5" customWidth="1" style="49" min="4" max="4"/>
    <col width="110.6640625" customWidth="1" style="49" min="5" max="5"/>
  </cols>
  <sheetData>
    <row r="1" ht="18.75" customHeight="1" s="49">
      <c r="A1" s="1" t="inlineStr">
        <is>
          <t>Flow</t>
        </is>
      </c>
      <c r="B1" s="1" t="inlineStr">
        <is>
          <t>Scenario No.</t>
        </is>
      </c>
      <c r="C1" s="1" t="inlineStr">
        <is>
          <t>Scenario Scope</t>
        </is>
      </c>
      <c r="D1" s="2" t="inlineStr">
        <is>
          <t>Scenario Name</t>
        </is>
      </c>
      <c r="E1" s="2" t="inlineStr">
        <is>
          <t>Business Flow (User Journey)</t>
        </is>
      </c>
      <c r="F1" s="3" t="n"/>
    </row>
    <row r="2" ht="20.25" customHeight="1" s="49">
      <c r="A2" s="1" t="inlineStr">
        <is>
          <t>OPD</t>
        </is>
      </c>
      <c r="B2" s="1" t="inlineStr">
        <is>
          <t xml:space="preserve">Scenario 1: </t>
        </is>
      </c>
      <c r="C2" s="4" t="inlineStr">
        <is>
          <t>ลงทะเบียน คัดกรอง ก่อนเข้าตรวจ OPD</t>
        </is>
      </c>
      <c r="D2" s="5" t="inlineStr">
        <is>
          <t>ผู้ป่วย Walk-in ลงทะเบียนแล้วถูกส่งต่อไปแผนกคัดกรอง และ เข้าคิว OPD</t>
        </is>
      </c>
      <c r="E2" s="5" t="inlineStr">
        <is>
          <t>[1]  ค้นหา/สร้าง HN</t>
        </is>
      </c>
      <c r="F2" s="3" t="n"/>
    </row>
    <row r="3" ht="20.25" customHeight="1" s="49">
      <c r="A3" s="1" t="n"/>
      <c r="B3" s="1" t="n"/>
      <c r="C3" s="4" t="inlineStr">
        <is>
          <t>ลงทะเบียน คัดกรอง ก่อนเข้าตรวจ OPD</t>
        </is>
      </c>
      <c r="D3" s="5" t="inlineStr">
        <is>
          <t>ผู้ป่วย Walk-in ลงทะเบียนแล้วถูกส่งต่อไปแผนกคัดกรอง และ เข้าคิว OPD</t>
        </is>
      </c>
      <c r="E3" s="5" t="inlineStr">
        <is>
          <t>[2]  ลงทะเบียน Visit (เลือกสิทธิ + คลินิกปลายทาง) + พิมพ์ใบนำทาง</t>
        </is>
      </c>
      <c r="F3" s="3" t="n"/>
    </row>
    <row r="4" ht="20.25" customHeight="1" s="49">
      <c r="A4" s="1" t="n"/>
      <c r="B4" s="1" t="n"/>
      <c r="C4" s="4" t="inlineStr">
        <is>
          <t>ลงทะเบียน คัดกรอง ก่อนเข้าตรวจ OPD</t>
        </is>
      </c>
      <c r="D4" s="5" t="inlineStr">
        <is>
          <t>ผู้ป่วย Walk-in ลงทะเบียนแล้วถูกส่งต่อไปแผนกคัดกรอง และ เข้าคิว OPD</t>
        </is>
      </c>
      <c r="E4" s="5" t="inlineStr">
        <is>
          <t>[3]  ระบบ Generate Visit No. → แสดงรายการที่ Tab "คำขอ Walk-in"</t>
        </is>
      </c>
      <c r="F4" s="3" t="n"/>
    </row>
    <row r="5" ht="20.25" customHeight="1" s="49">
      <c r="A5" s="1" t="n"/>
      <c r="B5" s="1" t="n"/>
      <c r="C5" s="4" t="inlineStr">
        <is>
          <t>ลงทะเบียน คัดกรอง ก่อนเข้าตรวจ OPD</t>
        </is>
      </c>
      <c r="D5" s="5" t="inlineStr">
        <is>
          <t>ผู้ป่วย Walk-in ลงทะเบียนแล้วถูกส่งต่อไปแผนกคัดกรอง และ เข้าคิว OPD</t>
        </is>
      </c>
      <c r="E5" s="5" t="inlineStr">
        <is>
          <t>[4]  พยาบาลคัดกรองกด Refresh ดูรายการ Tab คำขอ Walk-in</t>
        </is>
      </c>
      <c r="F5" s="3" t="n"/>
    </row>
    <row r="6" ht="20.25" customHeight="1" s="49">
      <c r="A6" s="1" t="n"/>
      <c r="B6" s="1" t="n"/>
      <c r="C6" s="4" t="inlineStr">
        <is>
          <t>ลงทะเบียน คัดกรอง ก่อนเข้าตรวจ OPD</t>
        </is>
      </c>
      <c r="D6" s="5" t="inlineStr">
        <is>
          <t>ผู้ป่วย Walk-in ลงทะเบียนแล้วถูกส่งต่อไปแผนกคัดกรอง และ เข้าคิว OPD</t>
        </is>
      </c>
      <c r="E6" s="5" t="inlineStr">
        <is>
          <t>[5]  พยาบาลคัดกรองบันทึกเอกสารคัดกรอง + สัญญาณชีพ</t>
        </is>
      </c>
      <c r="F6" s="3" t="n"/>
    </row>
    <row r="7" ht="20.25" customHeight="1" s="49">
      <c r="A7" s="1" t="n"/>
      <c r="B7" s="1" t="n"/>
      <c r="C7" s="4" t="inlineStr">
        <is>
          <t>ลงทะเบียน คัดกรอง ก่อนเข้าตรวจ OPD</t>
        </is>
      </c>
      <c r="D7" s="5" t="inlineStr">
        <is>
          <t>ผู้ป่วย Walk-in ลงทะเบียนแล้วถูกส่งต่อไปแผนกคัดกรอง และ เข้าคิว OPD</t>
        </is>
      </c>
      <c r="E7" s="5" t="inlineStr">
        <is>
          <t>[6]  พยาบาลคัดกรองลงตารางแพทย์ (เลือกแพทย์+เวลานัด) → บันทึก → Print บัตรคิว</t>
        </is>
      </c>
      <c r="F7" s="3" t="n"/>
    </row>
    <row r="8" ht="20.25" customHeight="1" s="49">
      <c r="A8" s="1" t="n"/>
      <c r="B8" s="1" t="n"/>
      <c r="C8" s="4" t="inlineStr">
        <is>
          <t>ลงทะเบียน คัดกรอง ก่อนเข้าตรวจ OPD</t>
        </is>
      </c>
      <c r="D8" s="5" t="inlineStr">
        <is>
          <t>ผู้ป่วย Walk-in ลงทะเบียนแล้วถูกส่งต่อไปแผนกคัดกรอง และ เข้าคิว OPD</t>
        </is>
      </c>
      <c r="E8" s="5" t="inlineStr">
        <is>
          <t>[7]  ระบบส่งต่อเข้าคิวแผนก → แสดงที่ Tab "ทั้งหมด" และ Tab "รอเช็คอิน"</t>
        </is>
      </c>
      <c r="F8" s="3" t="n"/>
    </row>
    <row r="9" ht="20.25" customHeight="1" s="49">
      <c r="A9" s="1" t="n"/>
      <c r="B9" s="1" t="n"/>
      <c r="C9" s="4" t="inlineStr">
        <is>
          <t>ลงทะเบียน คัดกรอง ก่อนเข้าตรวจ OPD</t>
        </is>
      </c>
      <c r="D9" s="5" t="inlineStr">
        <is>
          <t>ผู้ป่วย Walk-in ลงทะเบียนแล้วถูกส่งต่อไปแผนกคัดกรอง และ เข้าคิว OPD</t>
        </is>
      </c>
      <c r="E9" s="5" t="inlineStr">
        <is>
          <t>[8]  พยาบาล Check-in คนไข้ → เปลี่ยนสถานะเป็น "เช็คอิน" + กดบัตรคิวที่ Tab เช็คอิน</t>
        </is>
      </c>
      <c r="F9" s="3" t="n"/>
    </row>
    <row r="10" ht="20.25" customHeight="1" s="49">
      <c r="A10" s="1" t="n"/>
      <c r="B10" s="1" t="n"/>
      <c r="C10" s="4" t="inlineStr">
        <is>
          <t>ลงทะเบียน คัดกรอง ก่อนเข้าตรวจ OPD</t>
        </is>
      </c>
      <c r="D10" s="5" t="inlineStr">
        <is>
          <t>ผู้ป่วย Walk-in ลงทะเบียนแล้วถูกส่งต่อไปแผนกคัดกรอง และ เข้าคิว OPD</t>
        </is>
      </c>
      <c r="E10" s="5" t="inlineStr">
        <is>
          <t>[9]  พยาบาลกดเรียกคิวที่ Tab เช็คอิน → กดปุ่ม "พร้อมตรวจ" สถานะผู้ป่วย = กำลังดำเนินการ</t>
        </is>
      </c>
      <c r="F10" s="3" t="n"/>
    </row>
    <row r="11" ht="20.25" customHeight="1" s="49">
      <c r="A11" s="1" t="n"/>
      <c r="B11" s="1" t="n"/>
      <c r="C11" s="4" t="inlineStr">
        <is>
          <t>ลงทะเบียน คัดกรอง ก่อนเข้าตรวจ OPD</t>
        </is>
      </c>
      <c r="D11" s="5" t="inlineStr">
        <is>
          <t>ผู้ป่วย Walk-in ลงทะเบียนแล้วถูกส่งต่อไปแผนกคัดกรอง และ เข้าคิว OPD</t>
        </is>
      </c>
      <c r="E11" s="5" t="inlineStr">
        <is>
          <t>[10] พยาบาลหน้าห้องตรวจกดเรียกคิว</t>
        </is>
      </c>
      <c r="F11" s="3" t="n"/>
    </row>
    <row r="12" ht="18.75" customHeight="1" s="49">
      <c r="A12" s="1" t="n"/>
      <c r="B12" s="1" t="n"/>
      <c r="C12" s="4" t="n"/>
      <c r="D12" s="5" t="n"/>
      <c r="E12" s="5" t="n"/>
      <c r="F12" s="3" t="n"/>
    </row>
    <row r="13" ht="20.25" customHeight="1" s="49">
      <c r="A13" s="1" t="inlineStr">
        <is>
          <t>OPD</t>
        </is>
      </c>
      <c r="B13" s="1" t="inlineStr">
        <is>
          <t xml:space="preserve">Scenario 2 [A]: </t>
        </is>
      </c>
      <c r="C13" s="4" t="inlineStr">
        <is>
          <t>แพทย์ตรวจ + วินิจฉัย + สั่ง Order (Lab/X-ray/ยา)</t>
        </is>
      </c>
      <c r="D13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3" s="5" t="inlineStr">
        <is>
          <t>[1] พยาบาลหน้าห้องตรวจกดเรียกคิว (รับต่อจาก SC1 step 10)</t>
        </is>
      </c>
      <c r="F13" s="3" t="n"/>
    </row>
    <row r="14" ht="20.25" customHeight="1" s="49">
      <c r="A14" s="1" t="n"/>
      <c r="B14" s="1" t="n"/>
      <c r="C14" s="4" t="inlineStr">
        <is>
          <t>แพทย์ตรวจ + วินิจฉัย + สั่ง Order (Lab/X-ray/ยา)</t>
        </is>
      </c>
      <c r="D14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4" s="5" t="inlineStr">
        <is>
          <t>[2] แพทย์เปิดเวชระเบียน (EMR) ดูประวัติ + Vital Sign จากคัดกรอง + เปลี่ยนสถานะผู้ป่วย = "พร้อม"</t>
        </is>
      </c>
      <c r="F14" s="3" t="n"/>
    </row>
    <row r="15" ht="20.25" customHeight="1" s="49">
      <c r="A15" s="1" t="n"/>
      <c r="B15" s="1" t="n"/>
      <c r="C15" s="4" t="inlineStr">
        <is>
          <t>แพทย์ตรวจ + วินิจฉัย + สั่ง Order (Lab/X-ray/ยา)</t>
        </is>
      </c>
      <c r="D15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5" s="5" t="inlineStr">
        <is>
          <t>[3] แพทย์บันทึกวินิจฉัย (Diagnosis/ICD-10) ด้วย Template OPD Note</t>
        </is>
      </c>
      <c r="F15" s="3" t="n"/>
    </row>
    <row r="16" ht="20.25" customHeight="1" s="49">
      <c r="A16" s="1" t="n"/>
      <c r="B16" s="1" t="n"/>
      <c r="C16" s="4" t="inlineStr">
        <is>
          <t>แพทย์ตรวจ + วินิจฉัย + สั่ง Order (Lab/X-ray/ยา)</t>
        </is>
      </c>
      <c r="D16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6" s="5" t="inlineStr">
        <is>
          <t>[4] แพทย์สั่ง Order (แยก 3 เส้นทางที่อาจเกิดพร้อมกันในเคสเดียว):</t>
        </is>
      </c>
      <c r="F16" s="3" t="n"/>
    </row>
    <row r="17" ht="20.25" customHeight="1" s="49">
      <c r="A17" s="1" t="n"/>
      <c r="B17" s="1" t="n"/>
      <c r="C17" s="4" t="inlineStr">
        <is>
          <t>แพทย์ตรวจ + วินิจฉัย + สั่ง Order (Lab/X-ray/ยา)</t>
        </is>
      </c>
      <c r="D17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7" s="5" t="inlineStr">
        <is>
          <t xml:space="preserve">    → [4a] ค้นหา Item Lab → เลือก Item → เพิ่มลงตะกร้า</t>
        </is>
      </c>
      <c r="F17" s="3" t="n"/>
    </row>
    <row r="18" ht="20.25" customHeight="1" s="49">
      <c r="A18" s="1" t="n"/>
      <c r="B18" s="1" t="n"/>
      <c r="C18" s="4" t="inlineStr">
        <is>
          <t>แพทย์ตรวจ + วินิจฉัย + สั่ง Order (Lab/X-ray/ยา)</t>
        </is>
      </c>
      <c r="D18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8" s="5" t="inlineStr">
        <is>
          <t xml:space="preserve">    → [4b] ค้นหา Item X-ray → เลือก Item → เพิ่มลงตะกร้า</t>
        </is>
      </c>
      <c r="F18" s="3" t="n"/>
    </row>
    <row r="19" ht="20.25" customHeight="1" s="49">
      <c r="A19" s="1" t="n"/>
      <c r="B19" s="1" t="n"/>
      <c r="C19" s="4" t="inlineStr">
        <is>
          <t>แพทย์ตรวจ + วินิจฉัย + สั่ง Order (Lab/X-ray/ยา)</t>
        </is>
      </c>
      <c r="D19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19" s="5" t="inlineStr">
        <is>
          <t xml:space="preserve">    → [4c] ค้นหา Item ยา → เลือก Item → เพิ่มลงตะกร้า</t>
        </is>
      </c>
      <c r="F19" s="3" t="n"/>
    </row>
    <row r="20" ht="20.25" customHeight="1" s="49">
      <c r="A20" s="1" t="n"/>
      <c r="B20" s="1" t="n"/>
      <c r="C20" s="4" t="inlineStr">
        <is>
          <t>แพทย์ตรวจ + วินิจฉัย + สั่ง Order (Lab/X-ray/ยา)</t>
        </is>
      </c>
      <c r="D20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20" s="5" t="inlineStr">
        <is>
          <t>[5] กดปุ่ม "ส่งคำสั่ง" (Submit Order ทั้งตะกร้าพร้อมกัน)</t>
        </is>
      </c>
      <c r="F20" s="3" t="n"/>
    </row>
    <row r="21" ht="20.25" customHeight="1" s="49">
      <c r="A21" s="1" t="n"/>
      <c r="B21" s="1" t="n"/>
      <c r="C21" s="4" t="inlineStr">
        <is>
          <t>แพทย์ตรวจ + วินิจฉัย + สั่ง Order (Lab/X-ray/ยา)</t>
        </is>
      </c>
      <c r="D21" s="5" t="inlineStr">
        <is>
          <t>พยาบาลหน้าห้องตรวจกดเรียกคิว ตรวจผู้ป่วย OPD พร้อมกัน เพื่อเขาห้องตรวจ แล้วสั่ง Order</t>
        </is>
      </c>
      <c r="E21" s="5" t="inlineStr">
        <is>
          <t>[6] เปลี่ยนสถานะผู้ป่วย = "พักการตรวจ"</t>
        </is>
      </c>
      <c r="F21" s="3" t="n"/>
    </row>
    <row r="22" ht="18.75" customHeight="1" s="49">
      <c r="A22" s="1" t="n"/>
      <c r="B22" s="1" t="n"/>
      <c r="C22" s="4" t="n"/>
      <c r="D22" s="5" t="n"/>
      <c r="E22" s="4" t="n"/>
      <c r="F22" s="3" t="n"/>
    </row>
    <row r="23" ht="20.25" customHeight="1" s="49">
      <c r="A23" s="1" t="inlineStr">
        <is>
          <t>OPD</t>
        </is>
      </c>
      <c r="B23" s="1" t="inlineStr">
        <is>
          <t>Scenario 3:</t>
        </is>
      </c>
      <c r="C23" s="4" t="inlineStr">
        <is>
          <t>ส่ง Lab/X-ray → รับผล → แพทย์อ่านผลต่อ</t>
        </is>
      </c>
      <c r="D23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3" s="5" t="inlineStr">
        <is>
          <t>[1] ระบบส่ง Order ไปคิว Lab/X-ray (auto, รับต่อจาก SC2 step 5)</t>
        </is>
      </c>
      <c r="F23" s="3" t="n"/>
    </row>
    <row r="24" ht="20.25" customHeight="1" s="49">
      <c r="A24" s="1" t="n"/>
      <c r="B24" s="1" t="n"/>
      <c r="C24" s="4" t="inlineStr">
        <is>
          <t>ส่ง Lab/X-ray → รับผล → แพทย์อ่านผลต่อ</t>
        </is>
      </c>
      <c r="D24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4" s="5" t="inlineStr">
        <is>
          <t xml:space="preserve">[2] จนท. Lab เปิดดูรายการ Order ที่หน้า รายการงานแล็บ tab รอเช็คอิน </t>
        </is>
      </c>
      <c r="F24" s="3" t="n"/>
    </row>
    <row r="25" ht="20.25" customHeight="1" s="49">
      <c r="A25" s="1" t="n"/>
      <c r="B25" s="1" t="n"/>
      <c r="C25" s="4" t="inlineStr">
        <is>
          <t>ส่ง Lab/X-ray → รับผล → แพทย์อ่านผลต่อ</t>
        </is>
      </c>
      <c r="D25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5" s="5" t="inlineStr">
        <is>
          <t>[3] จนท.กดเลือกรายการ Lab ที่หน้า รายละเอียด Lab Task → กดปุ่ม เช็คอิน → ยืนยัน (auto print บัตรคิว) ที่ session รายละเอียด Lab Task</t>
        </is>
      </c>
      <c r="F25" s="3" t="n"/>
    </row>
    <row r="26" ht="20.25" customHeight="1" s="49">
      <c r="A26" s="1" t="n"/>
      <c r="B26" s="1" t="n"/>
      <c r="C26" s="4" t="inlineStr">
        <is>
          <t>ส่ง Lab/X-ray → รับผล → แพทย์อ่านผลต่อ</t>
        </is>
      </c>
      <c r="D26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6" s="5" t="inlineStr">
        <is>
          <t>[4] จนท. กดปุ่ม เก็บแล้ว ที่ session รายละเอียด Lab Task</t>
        </is>
      </c>
      <c r="F26" s="3" t="n"/>
    </row>
    <row r="27" ht="20.25" customHeight="1" s="49">
      <c r="A27" s="1" t="n"/>
      <c r="B27" s="1" t="n"/>
      <c r="C27" s="4" t="inlineStr">
        <is>
          <t>ส่ง Lab/X-ray → รับผล → แพทย์อ่านผลต่อ</t>
        </is>
      </c>
      <c r="D27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7" s="5" t="inlineStr">
        <is>
          <t>[5] จนท. เก็บแล้ว ที่ session Container</t>
        </is>
      </c>
      <c r="F27" s="3" t="n"/>
    </row>
    <row r="28" ht="20.25" customHeight="1" s="49">
      <c r="A28" s="1" t="n"/>
      <c r="B28" s="1" t="n"/>
      <c r="C28" s="4" t="inlineStr">
        <is>
          <t>ส่ง Lab/X-ray → รับผล → แพทย์อ่านผลต่อ</t>
        </is>
      </c>
      <c r="D28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8" s="5" t="inlineStr">
        <is>
          <t>[6] จนท. ยืนยัน ที่ session Container</t>
        </is>
      </c>
      <c r="F28" s="3" t="n"/>
    </row>
    <row r="29" ht="20.25" customHeight="1" s="49">
      <c r="A29" s="1" t="n"/>
      <c r="B29" s="1" t="n"/>
      <c r="C29" s="4" t="inlineStr">
        <is>
          <t>ส่ง Lab/X-ray → รับผล → แพทย์อ่านผลต่อ</t>
        </is>
      </c>
      <c r="D29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29" s="5" t="inlineStr">
        <is>
          <t>[7] จนท. ลงผล Lab ที่ ลงผล Lab → กดปุ่ม บันทึกร่าง → กดปุ่ม Final Report</t>
        </is>
      </c>
      <c r="F29" s="3" t="n"/>
    </row>
    <row r="30" ht="20.25" customHeight="1" s="49">
      <c r="A30" s="1" t="n"/>
      <c r="B30" s="1" t="n"/>
      <c r="C30" s="4" t="inlineStr">
        <is>
          <t>ส่ง Lab/X-ray → รับผล → แพทย์อ่านผลต่อ</t>
        </is>
      </c>
      <c r="D30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30" s="5" t="inlineStr">
        <is>
          <t>[8] แพทย์อ่านผล → เปลี่ยนสถานะ พร้อม :</t>
        </is>
      </c>
      <c r="F30" s="3" t="n"/>
    </row>
    <row r="31" ht="20.25" customHeight="1" s="49">
      <c r="A31" s="1" t="n"/>
      <c r="B31" s="1" t="n"/>
      <c r="C31" s="4" t="inlineStr">
        <is>
          <t>ส่ง Lab/X-ray → รับผล → แพทย์อ่านผลต่อ</t>
        </is>
      </c>
      <c r="D31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31" s="5" t="inlineStr">
        <is>
          <t xml:space="preserve">    → [8a] วินิจฉัยสรุป + สั่งยา</t>
        </is>
      </c>
      <c r="F31" s="3" t="n"/>
    </row>
    <row r="32" ht="20.25" customHeight="1" s="49">
      <c r="A32" s="1" t="n"/>
      <c r="B32" s="1" t="n"/>
      <c r="C32" s="4" t="inlineStr">
        <is>
          <t>ส่ง Lab/X-ray → รับผล → แพทย์อ่านผลต่อ</t>
        </is>
      </c>
      <c r="D32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32" s="5" t="inlineStr">
        <is>
          <t xml:space="preserve">    → [8b] สั่ง Order เพิ่ม</t>
        </is>
      </c>
      <c r="F32" s="3" t="n"/>
    </row>
    <row r="33" ht="20.25" customHeight="1" s="49">
      <c r="A33" s="1" t="n"/>
      <c r="B33" s="1" t="n"/>
      <c r="C33" s="4" t="inlineStr">
        <is>
          <t>ส่ง Lab/X-ray → รับผล → แพทย์อ่านผลต่อ</t>
        </is>
      </c>
      <c r="D33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33" s="5" t="inlineStr">
        <is>
          <t>[9] แพทย์ สร้างนัดหมาย</t>
        </is>
      </c>
      <c r="F33" s="3" t="n"/>
    </row>
    <row r="34" ht="20.25" customHeight="1" s="49">
      <c r="A34" s="1" t="n"/>
      <c r="B34" s="1" t="n"/>
      <c r="C34" s="4" t="inlineStr">
        <is>
          <t>ส่ง Lab/X-ray → รับผล → แพทย์อ่านผลต่อ</t>
        </is>
      </c>
      <c r="D34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34" s="5" t="inlineStr">
        <is>
          <t>[10] แพทย์ออกใบรับรองแพทย์</t>
        </is>
      </c>
      <c r="F34" s="3" t="n"/>
    </row>
    <row r="35" ht="20.25" customHeight="1" s="49">
      <c r="A35" s="1" t="n"/>
      <c r="B35" s="1" t="n"/>
      <c r="C35" s="4" t="inlineStr">
        <is>
          <t>ส่ง Lab/X-ray → รับผล → แพทย์อ่านผลต่อ</t>
        </is>
      </c>
      <c r="D35" s="5" t="inlineStr">
        <is>
          <t>ระบบส่ง Order ไปห้อง Lab/X-ray และประมวลผล Lab/X-ray พร้อมแพทย์อ่านผลกลับเข้าตรวจต่อ</t>
        </is>
      </c>
      <c r="E35" s="5" t="inlineStr">
        <is>
          <t>[11] แพทย์เปลี่ยนสถานะผู้ป่วย = "ตรวจเสร็จ"</t>
        </is>
      </c>
      <c r="F35" s="3" t="n"/>
    </row>
    <row r="36" ht="18.75" customHeight="1" s="49">
      <c r="A36" s="1" t="n"/>
      <c r="B36" s="1" t="n"/>
      <c r="C36" s="4" t="n"/>
      <c r="D36" s="5" t="n"/>
      <c r="E36" s="4" t="n"/>
      <c r="F36" s="3" t="n"/>
    </row>
    <row r="37" ht="20.25" customHeight="1" s="49">
      <c r="A37" s="1" t="inlineStr">
        <is>
          <t>OPD</t>
        </is>
      </c>
      <c r="B37" s="1" t="inlineStr">
        <is>
          <t>Scenario 4:</t>
        </is>
      </c>
      <c r="C37" s="4" t="inlineStr">
        <is>
          <t>เภสัชกรรม (สร้างใบยา) → ชำระเงิน → เภสัชกรรม จ่ายยา → การเงินปิด Visit</t>
        </is>
      </c>
      <c r="D37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37" s="5" t="inlineStr">
        <is>
          <t>[1] เภสัชกรรม: เปิดดูรายการใบสั่งยารอสร้างใบยา (จาก SC2/SC3 Order)</t>
        </is>
      </c>
      <c r="F37" s="3" t="n"/>
    </row>
    <row r="38" ht="20.25" customHeight="1" s="49">
      <c r="A38" s="1" t="n"/>
      <c r="B38" s="1" t="n"/>
      <c r="C38" s="4" t="inlineStr">
        <is>
          <t>เภสัชกรรม (สร้างใบยา) → ชำระเงิน → เภสัชกรรม จ่ายยา → การเงินปิด Visit</t>
        </is>
      </c>
      <c r="D38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38" s="5" t="inlineStr">
        <is>
          <t>[2] เภสัชกรรม: สร้างใบยา (ตรวจสอบรายการยา + Drug Interaction/Allergy check)</t>
        </is>
      </c>
      <c r="F38" s="3" t="n"/>
    </row>
    <row r="39" ht="20.25" customHeight="1" s="49">
      <c r="A39" s="1" t="n"/>
      <c r="B39" s="1" t="n"/>
      <c r="C39" s="4" t="inlineStr">
        <is>
          <t>เภสัชกรรม (สร้างใบยา) → ชำระเงิน → เภสัชกรรม จ่ายยา → การเงินปิด Visit</t>
        </is>
      </c>
      <c r="D39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39" s="5" t="inlineStr">
        <is>
          <t>[3] เภสัชกรรม: ยืนยันใบยา → ส่งไปแผนกการเงิน และ ระบบตัด Stock ยา (hiventory)</t>
        </is>
      </c>
      <c r="F39" s="3" t="n"/>
    </row>
    <row r="40" ht="20.25" customHeight="1" s="49">
      <c r="A40" s="1" t="n"/>
      <c r="B40" s="1" t="n"/>
      <c r="C40" s="4" t="inlineStr">
        <is>
          <t>เภสัชกรรม (สร้างใบยา) → ชำระเงิน → เภสัชกรรม จ่ายยา → การเงินปิด Visit</t>
        </is>
      </c>
      <c r="D40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40" s="5" t="inlineStr">
        <is>
          <t>[4] การเงิน: เปิดรายการรอชำระ charge-items</t>
        </is>
      </c>
      <c r="F40" s="3" t="n"/>
    </row>
    <row r="41" ht="20.25" customHeight="1" s="49">
      <c r="A41" s="1" t="n"/>
      <c r="B41" s="1" t="n"/>
      <c r="C41" s="4" t="inlineStr">
        <is>
          <t>เภสัชกรรม (สร้างใบยา) → ชำระเงิน → เภสัชกรรม จ่ายยา → การเงินปิด Visit</t>
        </is>
      </c>
      <c r="D41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41" s="5" t="inlineStr">
        <is>
          <t>[5] การเงิน: สรุปค่าใช้จ่าย สร้างใบแจ้งหนี้ → พิมพ์ใบแจ้งหนี้</t>
        </is>
      </c>
      <c r="F41" s="3" t="n"/>
    </row>
    <row r="42" ht="20.25" customHeight="1" s="49">
      <c r="A42" s="1" t="n"/>
      <c r="B42" s="1" t="n"/>
      <c r="C42" s="4" t="inlineStr">
        <is>
          <t>เภสัชกรรม (สร้างใบยา) → ชำระเงิน → เภสัชกรรม จ่ายยา → การเงินปิด Visit</t>
        </is>
      </c>
      <c r="D42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42" s="5" t="inlineStr">
        <is>
          <t>[6] การเงิน: เรียกคิว → กดปุ่ม เสร็จสิ้น</t>
        </is>
      </c>
      <c r="F42" s="3" t="n"/>
    </row>
    <row r="43" ht="20.25" customHeight="1" s="49">
      <c r="A43" s="1" t="n"/>
      <c r="B43" s="1" t="n"/>
      <c r="C43" s="4" t="inlineStr">
        <is>
          <t>เภสัชกรรม (สร้างใบยา) → ชำระเงิน → เภสัชกรรม จ่ายยา → การเงินปิด Visit</t>
        </is>
      </c>
      <c r="D43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43" s="5" t="inlineStr">
        <is>
          <t>[7] เภสัชกรรม: เห็นสถานะ "ชำระเงินแล้ว" → ทำการจัดยา (auto print ใบยารายการยา)</t>
        </is>
      </c>
      <c r="F43" s="3" t="n"/>
    </row>
    <row r="44" ht="20.25" customHeight="1" s="49">
      <c r="A44" s="1" t="n"/>
      <c r="B44" s="1" t="n"/>
      <c r="C44" s="4" t="inlineStr">
        <is>
          <t>เภสัชกรรม (สร้างใบยา) → ชำระเงิน → เภสัชกรรม จ่ายยา → การเงินปิด Visit</t>
        </is>
      </c>
      <c r="D44" s="5" t="inlineStr">
        <is>
          <t>เภสัชกรสร้างใบยาส่งต่อการเงินชำระเงินแล้วเภสัชกรจ่ายยาปิด Visit ให้ผู้ป่วย OPD</t>
        </is>
      </c>
      <c r="E44" s="5" t="inlineStr">
        <is>
          <t>[8] เภสัชกรรม: ยืนยันจ่ายยา + จ่ายยา (auto print ใบยารายการยา) + เรียกคิวรับยา</t>
        </is>
      </c>
      <c r="F44" s="3" t="n"/>
    </row>
    <row r="45" ht="18.75" customHeight="1" s="49">
      <c r="A45" s="1" t="n"/>
      <c r="B45" s="1" t="n"/>
      <c r="C45" s="4" t="n"/>
      <c r="D45" s="5" t="n"/>
      <c r="E45" s="4" t="n"/>
      <c r="F45" s="3" t="n"/>
    </row>
    <row r="46" ht="20.25" customHeight="1" s="49">
      <c r="A46" s="1" t="inlineStr">
        <is>
          <t>OPD</t>
        </is>
      </c>
      <c r="B46" s="1" t="inlineStr">
        <is>
          <t>Scenario 2 [B]:</t>
        </is>
      </c>
      <c r="C46" s="4" t="inlineStr">
        <is>
          <t>แพทย์วินิจฉัยแล้วสั่ง Admit โดยไม่มี Order</t>
        </is>
      </c>
      <c r="D46" s="5" t="inlineStr">
        <is>
          <t>แพทย์วินิจฉัยแล้วสั่ง Admit ผู้ป่วย OPD เข้า IPD ทันทีโดยไม่สั่ง Order</t>
        </is>
      </c>
      <c r="E46" s="5" t="inlineStr">
        <is>
          <t>[1] พยาบาลหน้าห้องตรวจกดเรียกคิว (รับต่อจาก OPD-Scenario 1)</t>
        </is>
      </c>
      <c r="F46" s="3" t="n"/>
    </row>
    <row r="47" ht="20.25" customHeight="1" s="49">
      <c r="A47" s="1" t="n"/>
      <c r="B47" s="1" t="n"/>
      <c r="C47" s="4" t="inlineStr">
        <is>
          <t>แพทย์วินิจฉัยแล้วสั่ง Admit โดยไม่มี Order</t>
        </is>
      </c>
      <c r="D47" s="5" t="inlineStr">
        <is>
          <t>แพทย์วินิจฉัยแล้วสั่ง Admit ผู้ป่วย OPD เข้า IPD ทันทีโดยไม่สั่ง Order</t>
        </is>
      </c>
      <c r="E47" s="5" t="inlineStr">
        <is>
          <t>[2] แพทย์เปิด EMR ดูประวัติ + Vital Sign จากคัดกรอง + เปลี่ยนสถานะ = "พร้อม"</t>
        </is>
      </c>
      <c r="F47" s="3" t="n"/>
    </row>
    <row r="48" ht="20.25" customHeight="1" s="49">
      <c r="A48" s="1" t="n"/>
      <c r="B48" s="1" t="n"/>
      <c r="C48" s="4" t="inlineStr">
        <is>
          <t>แพทย์วินิจฉัยแล้วสั่ง Admit โดยไม่มี Order</t>
        </is>
      </c>
      <c r="D48" s="5" t="inlineStr">
        <is>
          <t>แพทย์วินิจฉัยแล้วสั่ง Admit ผู้ป่วย OPD เข้า IPD ทันทีโดยไม่สั่ง Order</t>
        </is>
      </c>
      <c r="E48" s="5" t="inlineStr">
        <is>
          <t>[3] แพทย์บันทึกวินิจฉัย (Diagnosis/ICD-10) ด้วย Template OPD Note</t>
        </is>
      </c>
      <c r="F48" s="3" t="n"/>
    </row>
    <row r="49" ht="20.25" customHeight="1" s="49">
      <c r="A49" s="1" t="n"/>
      <c r="B49" s="1" t="n"/>
      <c r="C49" s="4" t="inlineStr">
        <is>
          <t>แพทย์วินิจฉัยแล้วสั่ง Admit โดยไม่มี Order</t>
        </is>
      </c>
      <c r="D49" s="5" t="inlineStr">
        <is>
          <t>แพทย์วินิจฉัยแล้วสั่ง Admit ผู้ป่วย OPD เข้า IPD ทันทีโดยไม่สั่ง Order</t>
        </is>
      </c>
      <c r="E49" s="5" t="inlineStr">
        <is>
          <t>[4] แพทย์ประเมิน → ตัดสินใจ "ต้อง Admit"</t>
        </is>
      </c>
      <c r="F49" s="3" t="n"/>
    </row>
    <row r="50" ht="20.25" customHeight="1" s="49">
      <c r="A50" s="1" t="n"/>
      <c r="B50" s="1" t="n"/>
      <c r="C50" s="4" t="inlineStr">
        <is>
          <t>แพทย์วินิจฉัยแล้วสั่ง Admit โดยไม่มี Order</t>
        </is>
      </c>
      <c r="D50" s="5" t="inlineStr">
        <is>
          <t>แพทย์วินิจฉัยแล้วสั่ง Admit ผู้ป่วย OPD เข้า IPD ทันทีโดยไม่สั่ง Order</t>
        </is>
      </c>
      <c r="E50" s="5" t="inlineStr">
        <is>
          <t>[5] แพทย์กดปุ่ม "สร้าง Admit Order" จากหน้า EMR (กรอกฟอร์ม Admit Order จากนั้นกดปุ่ม Save)</t>
        </is>
      </c>
      <c r="F50" s="3" t="n"/>
    </row>
    <row r="51" ht="20.25" customHeight="1" s="49">
      <c r="A51" s="1" t="n"/>
      <c r="B51" s="1" t="n"/>
      <c r="C51" s="4" t="inlineStr">
        <is>
          <t>แพทย์วินิจฉัยแล้วสั่ง Admit โดยไม่มี Order</t>
        </is>
      </c>
      <c r="D51" s="5" t="inlineStr">
        <is>
          <t>แพทย์วินิจฉัยแล้วสั่ง Admit ผู้ป่วย OPD เข้า IPD ทันทีโดยไม่สั่ง Order</t>
        </is>
      </c>
      <c r="E51" s="5" t="inlineStr">
        <is>
          <t>[6] เปลี่ยนสถานะผู้ป่วย = "รอ Admit"</t>
        </is>
      </c>
      <c r="F51" s="3" t="n"/>
    </row>
    <row r="52" ht="18.75" customHeight="1" s="49">
      <c r="A52" s="1" t="n"/>
      <c r="B52" s="1" t="n"/>
      <c r="C52" s="4" t="n"/>
      <c r="D52" s="5" t="n"/>
      <c r="E52" s="4" t="n"/>
      <c r="F52" s="3" t="n"/>
    </row>
    <row r="53" ht="20.25" customHeight="1" s="49">
      <c r="A53" s="1" t="inlineStr">
        <is>
          <t>IPD</t>
        </is>
      </c>
      <c r="B53" s="1" t="inlineStr">
        <is>
          <t>Scenario 5:</t>
        </is>
      </c>
      <c r="C53" s="4" t="inlineStr">
        <is>
          <t>จองเตียง → สร้าง AN (ต่อเนื่องจาก Scenario 2 [B])</t>
        </is>
      </c>
      <c r="D53" s="5" t="inlineStr">
        <is>
          <t>จนท.เตียงจองเตียงและสร้าง AN ให้ผู้ป่วย Admit</t>
        </is>
      </c>
      <c r="E53" s="5" t="inlineStr">
        <is>
          <t>[1] จนท. ศูนย์จัดการเตียง เข้าเมนู ศูนย์จัดการเตียง ไปที่ tab คำขอ Admit เพื่อดูรายการ Admit Order</t>
        </is>
      </c>
      <c r="F53" s="3" t="n"/>
    </row>
    <row r="54" ht="20.25" customHeight="1" s="49">
      <c r="A54" s="1" t="n"/>
      <c r="B54" s="1" t="n"/>
      <c r="C54" s="4" t="inlineStr">
        <is>
          <t>จองเตียง → สร้าง AN (ต่อเนื่องจาก Scenario 2 [B])</t>
        </is>
      </c>
      <c r="D54" s="5" t="inlineStr">
        <is>
          <t>จนท.เตียงจองเตียงและสร้าง AN ให้ผู้ป่วย Admit</t>
        </is>
      </c>
      <c r="E54" s="5" t="inlineStr">
        <is>
          <t>[2] จนท. ศูนย์จัดการเตียง ค้นหา ชื่อ หรือ HN ผู้ป่วย → กดปุ่ม จองเตียง</t>
        </is>
      </c>
      <c r="F54" s="3" t="n"/>
    </row>
    <row r="55" ht="20.25" customHeight="1" s="49">
      <c r="A55" s="1" t="n"/>
      <c r="B55" s="1" t="n"/>
      <c r="C55" s="4" t="inlineStr">
        <is>
          <t>จองเตียง → สร้าง AN (ต่อเนื่องจาก Scenario 2 [B])</t>
        </is>
      </c>
      <c r="D55" s="5" t="inlineStr">
        <is>
          <t>จนท.เตียงจองเตียงและสร้าง AN ให้ผู้ป่วย Admit</t>
        </is>
      </c>
      <c r="E55" s="5" t="inlineStr">
        <is>
          <t>[3] จนท. ศูนย์จัดการเตียง กดปุ่ม เลือกเตียง จาก modal จัดการการจองเตียง</t>
        </is>
      </c>
      <c r="F55" s="3" t="n"/>
    </row>
    <row r="56" ht="20.25" customHeight="1" s="49">
      <c r="A56" s="1" t="n"/>
      <c r="B56" s="1" t="n"/>
      <c r="C56" s="4" t="inlineStr">
        <is>
          <t>จองเตียง → สร้าง AN (ต่อเนื่องจาก Scenario 2 [B])</t>
        </is>
      </c>
      <c r="D56" s="5" t="inlineStr">
        <is>
          <t>จนท.เตียงจองเตียงและสร้าง AN ให้ผู้ป่วย Admit</t>
        </is>
      </c>
      <c r="E56" s="5" t="inlineStr">
        <is>
          <t>[4] จนท. ศูนย์จัดการเตียง เลือก ภาควิชา/วอร์ด/ประเภทเตียง จาก modal เลือกเตียงจากผังเตียง → เลือกเตียง → กดปุ่ม กลับไปหน้าจองเตียง</t>
        </is>
      </c>
      <c r="F56" s="3" t="n"/>
    </row>
    <row r="57" ht="20.25" customHeight="1" s="49">
      <c r="A57" s="1" t="n"/>
      <c r="B57" s="1" t="n"/>
      <c r="C57" s="4" t="inlineStr">
        <is>
          <t>จองเตียง → สร้าง AN (ต่อเนื่องจาก Scenario 2 [B])</t>
        </is>
      </c>
      <c r="D57" s="5" t="inlineStr">
        <is>
          <t>จนท.เตียงจองเตียงและสร้าง AN ให้ผู้ป่วย Admit</t>
        </is>
      </c>
      <c r="E57" s="5" t="inlineStr">
        <is>
          <t>[5] จนท. ศูนย์จัดการเตียง จะเห็นเตียงที่เลือก ที่หน้าจัดการการจองเตียง → กดปุ่ม บันทึก</t>
        </is>
      </c>
      <c r="F57" s="3" t="n"/>
    </row>
    <row r="58" ht="20.25" customHeight="1" s="49">
      <c r="A58" s="1" t="n"/>
      <c r="B58" s="1" t="n"/>
      <c r="C58" s="4" t="inlineStr">
        <is>
          <t>จองเตียง → สร้าง AN (ต่อเนื่องจาก Scenario 2 [B])</t>
        </is>
      </c>
      <c r="D58" s="5" t="inlineStr">
        <is>
          <t>จนท.เตียงจองเตียงและสร้าง AN ให้ผู้ป่วย Admit</t>
        </is>
      </c>
      <c r="E58" s="5" t="inlineStr">
        <is>
          <t>[6] จนท. ศูนย์จัดการเตียง กลับไปที่ tab คำขอ Admit → กดปุ่ม สร้างAN</t>
        </is>
      </c>
      <c r="F58" s="3" t="n"/>
    </row>
    <row r="59" ht="20.25" customHeight="1" s="49">
      <c r="A59" s="1" t="n"/>
      <c r="B59" s="1" t="n"/>
      <c r="C59" s="4" t="inlineStr">
        <is>
          <t>จองเตียง → สร้าง AN (ต่อเนื่องจาก Scenario 2 [B])</t>
        </is>
      </c>
      <c r="D59" s="5" t="inlineStr">
        <is>
          <t>จนท.เตียงจองเตียงและสร้าง AN ให้ผู้ป่วย Admit</t>
        </is>
      </c>
      <c r="E59" s="5" t="inlineStr">
        <is>
          <t>[7] จนท. ศูนย์จัดการเตียง → กลับไปที่ ศูนย์จัดการเตียง ไปที่ tab AN → จะพบข้อมูลผู้ป่วยไปแสดงที่ tab AN</t>
        </is>
      </c>
      <c r="F59" s="3" t="n"/>
    </row>
    <row r="60" ht="18.75" customHeight="1" s="49">
      <c r="A60" s="1" t="n"/>
      <c r="B60" s="1" t="n"/>
      <c r="C60" s="4" t="n"/>
      <c r="D60" s="5" t="n"/>
      <c r="E60" s="5" t="n"/>
      <c r="F60" s="3" t="n"/>
    </row>
    <row r="61" ht="20.25" customHeight="1" s="49">
      <c r="A61" s="1" t="inlineStr">
        <is>
          <t>IPD</t>
        </is>
      </c>
      <c r="B61" s="1" t="inlineStr">
        <is>
          <t>Scenario 6:</t>
        </is>
      </c>
      <c r="C61" s="4" t="inlineStr">
        <is>
          <t>ผู้ป่วยใน → รายการเตียง หอผู้ป่วยใน</t>
        </is>
      </c>
      <c r="D61" s="5" t="inlineStr">
        <is>
          <t>พยาบาล Ward เปิดรายการเตียงหอผู้ป่วยในและบันทึกเวลาผู้ป่วยมาถึงวอร์ด</t>
        </is>
      </c>
      <c r="E61" s="5" t="inlineStr">
        <is>
          <t>[1] พยาบาล Ward เข้าเมนู ผู้ป่วยใน → เลือก รายการเตียง → เลือกหอผู้ป่วย → กดปุ่ม ส่ง</t>
        </is>
      </c>
      <c r="F61" s="3" t="n"/>
    </row>
    <row r="62" ht="20.25" customHeight="1" s="49">
      <c r="A62" s="1" t="n"/>
      <c r="B62" s="1" t="n"/>
      <c r="C62" s="4" t="inlineStr">
        <is>
          <t>ผู้ป่วยใน → รายการเตียง หอผู้ป่วยใน</t>
        </is>
      </c>
      <c r="D62" s="5" t="inlineStr">
        <is>
          <t>พยาบาล Ward เปิดรายการเตียงหอผู้ป่วยในและบันทึกเวลาผู้ป่วยมาถึงวอร์ด</t>
        </is>
      </c>
      <c r="E62" s="5" t="inlineStr">
        <is>
          <t>[2] พยาบาล Ward ไปที่ tab เตียงทั้งหมด → ไปที่รายชื่อผู้ป่วย → กดจุด 3 จุด เลือก บันทึกมาถึงวอร์ด</t>
        </is>
      </c>
      <c r="F62" s="3" t="n"/>
    </row>
    <row r="63" ht="20.25" customHeight="1" s="49">
      <c r="A63" s="1" t="n"/>
      <c r="B63" s="1" t="n"/>
      <c r="C63" s="4" t="inlineStr">
        <is>
          <t>ผู้ป่วยใน → รายการเตียง หอผู้ป่วยใน</t>
        </is>
      </c>
      <c r="D63" s="5" t="inlineStr">
        <is>
          <t>พยาบาล Ward เปิดรายการเตียงหอผู้ป่วยในและบันทึกเวลาผู้ป่วยมาถึงวอร์ด</t>
        </is>
      </c>
      <c r="E63" s="5" t="inlineStr">
        <is>
          <t>[3] พยาบาล Ward บันทึกเวลาผู้ป่วยมาถึงวอร์ด ที่ modal พยาบาล บันทึกเวลาผู้ป่วยมาถึงวอร์ด (วัน และ เวลา ที่บันทึกจะตรงตาม เวลาเครื่องในปัจจุบัน)</t>
        </is>
      </c>
      <c r="F63" s="3" t="n"/>
    </row>
    <row r="64" ht="18.75" customHeight="1" s="49">
      <c r="A64" s="1" t="n"/>
      <c r="B64" s="1" t="n"/>
      <c r="C64" s="4" t="n"/>
      <c r="D64" s="5" t="n"/>
      <c r="E64" s="5" t="n"/>
      <c r="F64" s="3" t="n"/>
    </row>
    <row r="65" ht="20.25" customHeight="1" s="49">
      <c r="A65" s="1" t="inlineStr">
        <is>
          <t>IPD</t>
        </is>
      </c>
      <c r="B65" s="1" t="inlineStr">
        <is>
          <t>Scenario 7:</t>
        </is>
      </c>
      <c r="C65" s="4" t="inlineStr">
        <is>
          <t>แพทย์ตรวจ + วินิจฉัย + สั่ง Order (Lab/X-ray/ยา)</t>
        </is>
      </c>
      <c r="D65" s="5" t="inlineStr">
        <is>
          <t>แพทย์ Round ตรวจและสั่ง Order ยา/Lab/X-ray แบบ ONE DAY และ CONTINUE ให้ผู้ป่วย IPD</t>
        </is>
      </c>
      <c r="E65" s="5" t="inlineStr">
        <is>
          <t>[1] แพทย์เปิด EMR ผู้ป่วย IPD เข้าเมนู "IPD Summary" (ใช้ AN/IPD Case No.)</t>
        </is>
      </c>
      <c r="F65" s="3" t="n"/>
    </row>
    <row r="66" ht="20.25" customHeight="1" s="49">
      <c r="A66" s="1" t="n"/>
      <c r="B66" s="1" t="n"/>
      <c r="C66" s="4" t="inlineStr">
        <is>
          <t>แพทย์ตรวจ + วินิจฉัย + สั่ง Order (Lab/X-ray/ยา)</t>
        </is>
      </c>
      <c r="D66" s="5" t="inlineStr">
        <is>
          <t>แพทย์ Round ตรวจและสั่ง Order ยา/Lab/X-ray แบบ ONE DAY และ CONTINUE ให้ผู้ป่วย IPD</t>
        </is>
      </c>
      <c r="E66" s="5" t="inlineStr">
        <is>
          <t>[2] แพทย์ Round ตรวจอาการ + บันทึก Progress Note</t>
        </is>
      </c>
      <c r="F66" s="3" t="n"/>
    </row>
    <row r="67" ht="20.25" customHeight="1" s="49">
      <c r="A67" s="1" t="n"/>
      <c r="B67" s="1" t="n"/>
      <c r="C67" s="4" t="inlineStr">
        <is>
          <t>แพทย์ตรวจ + วินิจฉัย + สั่ง Order (Lab/X-ray/ยา)</t>
        </is>
      </c>
      <c r="D67" s="5" t="inlineStr">
        <is>
          <t>แพทย์ Round ตรวจและสั่ง Order ยา/Lab/X-ray แบบ ONE DAY และ CONTINUE ให้ผู้ป่วย IPD</t>
        </is>
      </c>
      <c r="E67" s="5" t="inlineStr">
        <is>
          <t>[3] แพทย์กดเปิด Tab "Physician Order"</t>
        </is>
      </c>
      <c r="F67" s="3" t="n"/>
    </row>
    <row r="68" ht="20.25" customHeight="1" s="49">
      <c r="A68" s="1" t="n"/>
      <c r="B68" s="1" t="n"/>
      <c r="C68" s="4" t="inlineStr">
        <is>
          <t>แพทย์ตรวจ + วินิจฉัย + สั่ง Order (Lab/X-ray/ยา)</t>
        </is>
      </c>
      <c r="D68" s="5" t="inlineStr">
        <is>
          <t>แพทย์ Round ตรวจและสั่ง Order ยา/Lab/X-ray แบบ ONE DAY และ CONTINUE ให้ผู้ป่วย IPD</t>
        </is>
      </c>
      <c r="E68" s="5" t="inlineStr">
        <is>
          <t>[4] แพทย์เลือกประเภทที่ Order Search:</t>
        </is>
      </c>
      <c r="F68" s="3" t="n"/>
    </row>
    <row r="69" ht="20.25" customHeight="1" s="49">
      <c r="A69" s="1" t="n"/>
      <c r="B69" s="1" t="n"/>
      <c r="C69" s="4" t="inlineStr">
        <is>
          <t>แพทย์ตรวจ + วินิจฉัย + สั่ง Order (Lab/X-ray/ยา)</t>
        </is>
      </c>
      <c r="D69" s="5" t="inlineStr">
        <is>
          <t>แพทย์ Round ตรวจและสั่ง Order ยา/Lab/X-ray แบบ ONE DAY และ CONTINUE ให้ผู้ป่วย IPD</t>
        </is>
      </c>
      <c r="E69" s="5" t="inlineStr">
        <is>
          <t xml:space="preserve">    ปุ่ม Toggle "One Day Order" / "Continue Order"</t>
        </is>
      </c>
      <c r="F69" s="3" t="n"/>
    </row>
    <row r="70" ht="20.25" customHeight="1" s="49">
      <c r="A70" s="1" t="n"/>
      <c r="B70" s="1" t="n"/>
      <c r="C70" s="4" t="inlineStr">
        <is>
          <t>แพทย์ตรวจ + วินิจฉัย + สั่ง Order (Lab/X-ray/ยา)</t>
        </is>
      </c>
      <c r="D70" s="5" t="inlineStr">
        <is>
          <t>แพทย์ Round ตรวจและสั่ง Order ยา/Lab/X-ray แบบ ONE DAY และ CONTINUE ให้ผู้ป่วย IPD</t>
        </is>
      </c>
      <c r="E70" s="5" t="inlineStr">
        <is>
          <t>[5] แพทย์ค้นหา Item ที่ช่องค้นหา "ค้นหา ยา, เวชภัณฑ์, แล็บ, รังสี, หัตถการ..."</t>
        </is>
      </c>
      <c r="F70" s="3" t="n"/>
    </row>
    <row r="71" ht="20.25" customHeight="1" s="49">
      <c r="A71" s="1" t="n"/>
      <c r="B71" s="1" t="n"/>
      <c r="C71" s="4" t="inlineStr">
        <is>
          <t>แพทย์ตรวจ + วินิจฉัย + สั่ง Order (Lab/X-ray/ยา)</t>
        </is>
      </c>
      <c r="D71" s="5" t="inlineStr">
        <is>
          <t>แพทย์ Round ตรวจและสั่ง Order ยา/Lab/X-ray แบบ ONE DAY และ CONTINUE ให้ผู้ป่วย IPD</t>
        </is>
      </c>
      <c r="E71" s="5" t="inlineStr">
        <is>
          <t xml:space="preserve">    (หรือใช้ทางลัด: Order Set / Remed / Re-Lab / Re-Imaging / Order Checklist)</t>
        </is>
      </c>
      <c r="F71" s="3" t="n"/>
    </row>
    <row r="72" ht="20.25" customHeight="1" s="49">
      <c r="A72" s="1" t="n"/>
      <c r="B72" s="1" t="n"/>
      <c r="C72" s="4" t="inlineStr">
        <is>
          <t>แพทย์ตรวจ + วินิจฉัย + สั่ง Order (Lab/X-ray/ยา)</t>
        </is>
      </c>
      <c r="D72" s="5" t="inlineStr">
        <is>
          <t>แพทย์ Round ตรวจและสั่ง Order ยา/Lab/X-ray แบบ ONE DAY และ CONTINUE ให้ผู้ป่วย IPD</t>
        </is>
      </c>
      <c r="E72" s="5" t="inlineStr">
        <is>
          <t>[6] แพทย์เลือก Item จากผลค้นหา → กดปุ่ม "เพิ่มออเดอร์"</t>
        </is>
      </c>
      <c r="F72" s="3" t="n"/>
    </row>
    <row r="73" ht="20.25" customHeight="1" s="49">
      <c r="A73" s="1" t="n"/>
      <c r="B73" s="1" t="n"/>
      <c r="C73" s="4" t="inlineStr">
        <is>
          <t>แพทย์ตรวจ + วินิจฉัย + สั่ง Order (Lab/X-ray/ยา)</t>
        </is>
      </c>
      <c r="D73" s="5" t="inlineStr">
        <is>
          <t>แพทย์ Round ตรวจและสั่ง Order ยา/Lab/X-ray แบบ ONE DAY และ CONTINUE ให้ผู้ป่วย IPD</t>
        </is>
      </c>
      <c r="E73" s="5" t="inlineStr">
        <is>
          <t xml:space="preserve">   (วนซ้ำ step 4-5 ได้หลาย Item ทั้งยา/Lab/Xray ผสมกันในรอบเดียว)</t>
        </is>
      </c>
      <c r="F73" s="3" t="n"/>
    </row>
    <row r="74" ht="20.25" customHeight="1" s="49">
      <c r="A74" s="1" t="n"/>
      <c r="B74" s="1" t="n"/>
      <c r="C74" s="4" t="inlineStr">
        <is>
          <t>แพทย์ตรวจ + วินิจฉัย + สั่ง Order (Lab/X-ray/ยา)</t>
        </is>
      </c>
      <c r="D74" s="5" t="inlineStr">
        <is>
          <t>แพทย์ Round ตรวจและสั่ง Order ยา/Lab/X-ray แบบ ONE DAY และ CONTINUE ให้ผู้ป่วย IPD</t>
        </is>
      </c>
      <c r="E74" s="5" t="inlineStr">
        <is>
          <t>[7] แพทย์กดปุ่ม "บันทึก" (มุมขวาบนของ Physician Order)</t>
        </is>
      </c>
      <c r="F74" s="3" t="n"/>
    </row>
    <row r="75" ht="20.25" customHeight="1" s="49">
      <c r="A75" s="1" t="n"/>
      <c r="B75" s="1" t="n"/>
      <c r="C75" s="4" t="inlineStr">
        <is>
          <t>แพทย์ตรวจ + วินิจฉัย + สั่ง Order (Lab/X-ray/ยา)</t>
        </is>
      </c>
      <c r="D75" s="5" t="inlineStr">
        <is>
          <t>แพทย์ Round ตรวจและสั่ง Order ยา/Lab/X-ray แบบ ONE DAY และ CONTINUE ให้ผู้ป่วย IPD</t>
        </is>
      </c>
      <c r="E75" s="5" t="inlineStr">
        <is>
          <t>[8] ระบบย้าย Item ทั้งหมดไปแสดงที่ Tab "IPD Summary" โดยจัดกลุ่มตามประเภท:</t>
        </is>
      </c>
      <c r="F75" s="3" t="n"/>
    </row>
    <row r="76" ht="20.25" customHeight="1" s="49">
      <c r="A76" s="1" t="n"/>
      <c r="B76" s="1" t="n"/>
      <c r="C76" s="4" t="inlineStr">
        <is>
          <t>แพทย์ตรวจ + วินิจฉัย + สั่ง Order (Lab/X-ray/ยา)</t>
        </is>
      </c>
      <c r="D76" s="5" t="inlineStr">
        <is>
          <t>แพทย์ Round ตรวจและสั่ง Order ยา/Lab/X-ray แบบ ONE DAY และ CONTINUE ให้ผู้ป่วย IPD</t>
        </is>
      </c>
      <c r="E76" s="5" t="inlineStr">
        <is>
          <t xml:space="preserve">    → [8a] กลุ่ม "ORDER FOR ONE DAY"</t>
        </is>
      </c>
      <c r="F76" s="3" t="n"/>
    </row>
    <row r="77" ht="20.25" customHeight="1" s="49">
      <c r="A77" s="1" t="n"/>
      <c r="B77" s="1" t="n"/>
      <c r="C77" s="4" t="inlineStr">
        <is>
          <t>แพทย์ตรวจ + วินิจฉัย + สั่ง Order (Lab/X-ray/ยา)</t>
        </is>
      </c>
      <c r="D77" s="5" t="inlineStr">
        <is>
          <t>แพทย์ Round ตรวจและสั่ง Order ยา/Lab/X-ray แบบ ONE DAY และ CONTINUE ให้ผู้ป่วย IPD</t>
        </is>
      </c>
      <c r="E77" s="5" t="inlineStr">
        <is>
          <t xml:space="preserve">    → [8b] กลุ่ม "ORDER FOR CONTINUE" (ถ้าเลือกไว้ตอน step 3)</t>
        </is>
      </c>
      <c r="F77" s="3" t="n"/>
    </row>
    <row r="78" ht="20.25" customHeight="1" s="49">
      <c r="A78" s="1" t="n"/>
      <c r="B78" s="1" t="n"/>
      <c r="C78" s="4" t="inlineStr">
        <is>
          <t>แพทย์ตรวจ + วินิจฉัย + สั่ง Order (Lab/X-ray/ยา)</t>
        </is>
      </c>
      <c r="D78" s="5" t="inlineStr">
        <is>
          <t>แพทย์ Round ตรวจและสั่ง Order ยา/Lab/X-ray แบบ ONE DAY และ CONTINUE ให้ผู้ป่วย IPD</t>
        </is>
      </c>
      <c r="E78" s="5" t="inlineStr">
        <is>
          <t>[9] แพทย์กดปุ่ม "Sign" ทีละรายการ หรือกดปุ่ม "Sign All" เพื่อเซ็นยืนยันทั้งหมดในกลุ่มพร้อมกัน [Status Order = "รอรับ"]</t>
        </is>
      </c>
      <c r="F78" s="3" t="n"/>
    </row>
    <row r="79" ht="18.75" customHeight="1" s="49">
      <c r="A79" s="1" t="n"/>
      <c r="B79" s="1" t="n"/>
      <c r="C79" s="4" t="n"/>
      <c r="D79" s="5" t="n"/>
      <c r="E79" s="4" t="n"/>
      <c r="F79" s="3" t="n"/>
    </row>
    <row r="80" ht="20.25" customHeight="1" s="49">
      <c r="A80" s="1" t="inlineStr">
        <is>
          <t>IPD</t>
        </is>
      </c>
      <c r="B80" s="1" t="inlineStr">
        <is>
          <t>Scenario 8:</t>
        </is>
      </c>
      <c r="C80" s="4" t="inlineStr">
        <is>
          <t>พยาบาลตรวจสอบ Order ยา และ Confirm รายการยา</t>
        </is>
      </c>
      <c r="D80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0" s="5" t="inlineStr">
        <is>
          <t>[1] พยาบาลเข้าเมนู "ผู้ป่วยใน" → "รายการเตียง" → เลือกหอผู้ป่วย/Ward</t>
        </is>
      </c>
      <c r="F80" s="3" t="n"/>
    </row>
    <row r="81" ht="20.25" customHeight="1" s="49">
      <c r="A81" s="1" t="n"/>
      <c r="B81" s="1" t="n"/>
      <c r="C81" s="4" t="inlineStr">
        <is>
          <t>พยาบาลตรวจสอบ Order ยา และ Confirm รายการยา</t>
        </is>
      </c>
      <c r="D81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1" s="5" t="inlineStr">
        <is>
          <t>[2] พยาบาลกดเลือกคนไข้ → เข้าสู่หน้า "Patient IPD Summary" (ใช้ AN/IPD Case No.)</t>
        </is>
      </c>
      <c r="F81" s="3" t="n"/>
    </row>
    <row r="82" ht="20.25" customHeight="1" s="49">
      <c r="A82" s="1" t="n"/>
      <c r="B82" s="1" t="n"/>
      <c r="C82" s="4" t="inlineStr">
        <is>
          <t>พยาบาลตรวจสอบ Order ยา และ Confirm รายการยา</t>
        </is>
      </c>
      <c r="D82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2" s="5" t="inlineStr">
        <is>
          <t>[3] พยาบาลดูรายการ Order ที่แพทย์ Sign แล้ว (สถานะ "รอรับ" จาก SC7) แบ่งเป็น 2 คอลัมน์:</t>
        </is>
      </c>
      <c r="F82" s="3" t="n"/>
    </row>
    <row r="83" ht="20.25" customHeight="1" s="49">
      <c r="A83" s="1" t="n"/>
      <c r="B83" s="1" t="n"/>
      <c r="C83" s="4" t="inlineStr">
        <is>
          <t>พยาบาลตรวจสอบ Order ยา และ Confirm รายการยา</t>
        </is>
      </c>
      <c r="D83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3" s="5" t="inlineStr">
        <is>
          <t xml:space="preserve">    → [3a] คอลัมน์ "ORDER FOR ONE DAY"</t>
        </is>
      </c>
      <c r="F83" s="3" t="n"/>
    </row>
    <row r="84" ht="20.25" customHeight="1" s="49">
      <c r="A84" s="1" t="n"/>
      <c r="B84" s="1" t="n"/>
      <c r="C84" s="4" t="inlineStr">
        <is>
          <t>พยาบาลตรวจสอบ Order ยา และ Confirm รายการยา</t>
        </is>
      </c>
      <c r="D84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4" s="5" t="inlineStr">
        <is>
          <t xml:space="preserve">    → [3b] คอลัมน์ "NEW ORDER FOR CONTINUE"</t>
        </is>
      </c>
      <c r="F84" s="3" t="n"/>
    </row>
    <row r="85" ht="20.25" customHeight="1" s="49">
      <c r="A85" s="1" t="n"/>
      <c r="B85" s="1" t="n"/>
      <c r="C85" s="4" t="inlineStr">
        <is>
          <t>พยาบาลตรวจสอบ Order ยา และ Confirm รายการยา</t>
        </is>
      </c>
      <c r="D85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5" s="5" t="inlineStr">
        <is>
          <t>[4] พยาบาลตรวจสอบรายการยาแต่ละรายการ (ชื่อยา, ขนาด, วิธีให้ — เช่น "1 tab PO tid")</t>
        </is>
      </c>
      <c r="F85" s="3" t="n"/>
    </row>
    <row r="86" ht="20.25" customHeight="1" s="49">
      <c r="A86" s="1" t="n"/>
      <c r="B86" s="1" t="n"/>
      <c r="C86" s="4" t="inlineStr">
        <is>
          <t>พยาบาลตรวจสอบ Order ยา และ Confirm รายการยา</t>
        </is>
      </c>
      <c r="D86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6" s="5" t="inlineStr">
        <is>
          <t>[5] พยาบาลกดปุ่ม "รับออเดอร์" ที่รายการยานั้นๆ</t>
        </is>
      </c>
      <c r="F86" s="3" t="n"/>
    </row>
    <row r="87" ht="20.25" customHeight="1" s="49">
      <c r="A87" s="1" t="n"/>
      <c r="B87" s="1" t="n"/>
      <c r="C87" s="4" t="inlineStr">
        <is>
          <t>พยาบาลตรวจสอบ Order ยา และ Confirm รายการยา</t>
        </is>
      </c>
      <c r="D87" s="5" t="inlineStr">
        <is>
          <t>พยาบาลตรวจสอบและ Confirm รายการยาผู้ป่วย IPD แพทย์สั่ง Order ทั้งแบบ ONE DAY และ CONTINUE</t>
        </is>
      </c>
      <c r="E87" s="5" t="inlineStr">
        <is>
          <t>[6] ระบบส่งรายการยาที่กด "รับออเดอร์" ไปที่ห้องยา (เภสัชกรรม) ต่อไป</t>
        </is>
      </c>
      <c r="F87" s="3" t="n"/>
    </row>
    <row r="88" ht="18.75" customHeight="1" s="49">
      <c r="A88" s="1" t="n"/>
      <c r="B88" s="1" t="n"/>
      <c r="C88" s="4" t="n"/>
      <c r="D88" s="5" t="n"/>
      <c r="E88" s="5" t="n"/>
      <c r="F88" s="3" t="n"/>
    </row>
    <row r="89" ht="20.25" customHeight="1" s="49">
      <c r="A89" s="1" t="inlineStr">
        <is>
          <t>IPD</t>
        </is>
      </c>
      <c r="B89" s="1" t="inlineStr">
        <is>
          <t>Scenario 9:</t>
        </is>
      </c>
      <c r="C89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89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89" s="5" t="inlineStr">
        <is>
          <t xml:space="preserve">[1] เภสัชกรเข้าเมนู "ห้องยาผู้ป่วยใน" → "ผู้ป่วยใน" → "จัดการสั่งยา" → Tab "Order รอยืนยัน" </t>
        </is>
      </c>
      <c r="F89" s="3" t="n"/>
    </row>
    <row r="90" ht="20.25" customHeight="1" s="49">
      <c r="A90" s="1" t="n"/>
      <c r="B90" s="1" t="n"/>
      <c r="C90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0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0" s="5" t="inlineStr">
        <is>
          <t xml:space="preserve">    (รับต่อจาก SC8 ที่พยาบาลกด "รับออเดอร์" แล้ว)</t>
        </is>
      </c>
      <c r="F90" s="3" t="n"/>
    </row>
    <row r="91" ht="20.25" customHeight="1" s="49">
      <c r="A91" s="1" t="n"/>
      <c r="B91" s="1" t="n"/>
      <c r="C91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1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1" s="5" t="inlineStr">
        <is>
          <t>[2] ระบบแสดงรายการยาของผู้ป่วย พร้อมวิธีการรับยา</t>
        </is>
      </c>
      <c r="F91" s="3" t="n"/>
    </row>
    <row r="92" ht="20.25" customHeight="1" s="49">
      <c r="A92" s="1" t="n"/>
      <c r="B92" s="1" t="n"/>
      <c r="C92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2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2" s="5" t="inlineStr">
        <is>
          <t>[3] เภสัชกรกดเลือกรายการ Order ผู้ป่วย</t>
        </is>
      </c>
      <c r="F92" s="3" t="n"/>
    </row>
    <row r="93" ht="20.25" customHeight="1" s="49">
      <c r="A93" s="1" t="n"/>
      <c r="B93" s="1" t="n"/>
      <c r="C93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3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3" s="5" t="inlineStr">
        <is>
          <t>[4] ระบบแสดงหน้า Profile ผู้ป่วย พร้อมหน้า "สร้างใบยา"</t>
        </is>
      </c>
      <c r="F93" s="3" t="n"/>
    </row>
    <row r="94" ht="20.25" customHeight="1" s="49">
      <c r="A94" s="1" t="n"/>
      <c r="B94" s="1" t="n"/>
      <c r="C94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4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4" s="5" t="inlineStr">
        <is>
          <t xml:space="preserve">    (สถานะแสดง: "Order รอยืนยัน" | "รอชำระ" | "IPD" | AN)</t>
        </is>
      </c>
      <c r="F94" s="3" t="n"/>
    </row>
    <row r="95" ht="20.25" customHeight="1" s="49">
      <c r="A95" s="1" t="n"/>
      <c r="B95" s="1" t="n"/>
      <c r="C95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5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5" s="5" t="inlineStr">
        <is>
          <t xml:space="preserve">    → [4a] แสดงรายการ ONE DAY</t>
        </is>
      </c>
      <c r="F95" s="3" t="n"/>
    </row>
    <row r="96" ht="20.25" customHeight="1" s="49">
      <c r="A96" s="1" t="n"/>
      <c r="B96" s="1" t="n"/>
      <c r="C96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6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6" s="5" t="inlineStr">
        <is>
          <t xml:space="preserve">    → [4b] แสดงรายการ CONTINUE [SC10]</t>
        </is>
      </c>
      <c r="F96" s="3" t="n"/>
    </row>
    <row r="97" ht="20.25" customHeight="1" s="49">
      <c r="A97" s="1" t="n"/>
      <c r="B97" s="1" t="n"/>
      <c r="C97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7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7" s="5" t="inlineStr">
        <is>
          <t>[5] เภสัชกรตรวจสอบความถูกต้องรายการยาที่พยาบาลยืนยัน Order มาทั้งหมด</t>
        </is>
      </c>
      <c r="F97" s="3" t="n"/>
    </row>
    <row r="98" ht="20.25" customHeight="1" s="49">
      <c r="A98" s="1" t="n"/>
      <c r="B98" s="1" t="n"/>
      <c r="C98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8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8" s="5" t="inlineStr">
        <is>
          <t>[6] เภสัชกร กดปุ่ม "สร้างใบยา" (ตรวจสอบรายการยา + Drug Interaction/Allergy check)</t>
        </is>
      </c>
      <c r="F98" s="3" t="n"/>
    </row>
    <row r="99" ht="20.25" customHeight="1" s="49">
      <c r="A99" s="1" t="n"/>
      <c r="B99" s="1" t="n"/>
      <c r="C99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99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99" s="5" t="inlineStr">
        <is>
          <t xml:space="preserve">[7] ระบบสร้างใบยา + Print ฉลากยาอัตโนมัติทันที (auto print)(default checked) </t>
        </is>
      </c>
      <c r="F99" s="3" t="n"/>
    </row>
    <row r="100" ht="20.25" customHeight="1" s="49">
      <c r="A100" s="1" t="n"/>
      <c r="B100" s="1" t="n"/>
      <c r="C100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0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0" s="5" t="inlineStr">
        <is>
          <t>[8] เภสัชกรรม: ยืนยันใบยา → ส่งไปแผนกการเงิน และ ระบบตัด Stock ยา (hiventory)</t>
        </is>
      </c>
      <c r="F100" s="3" t="n"/>
    </row>
    <row r="101" ht="20.25" customHeight="1" s="49">
      <c r="A101" s="1" t="n"/>
      <c r="B101" s="1" t="n"/>
      <c r="C101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1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1" s="5" t="inlineStr">
        <is>
          <t>[9] การเงิน: เปิดรายการรอชำระ charge-items</t>
        </is>
      </c>
      <c r="F101" s="3" t="n"/>
    </row>
    <row r="102" ht="20.25" customHeight="1" s="49">
      <c r="A102" s="1" t="n"/>
      <c r="B102" s="1" t="n"/>
      <c r="C102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2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2" s="5" t="inlineStr">
        <is>
          <t>[10] การเงิน: สรุปค่าใช้จ่าย สร้างใบแจ้งหนี้ → พิมพ์ใบแจ้งหนี้</t>
        </is>
      </c>
      <c r="F102" s="3" t="n"/>
    </row>
    <row r="103" ht="20.25" customHeight="1" s="49">
      <c r="A103" s="1" t="n"/>
      <c r="B103" s="1" t="n"/>
      <c r="C103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3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3" s="5" t="inlineStr">
        <is>
          <t>[11] เภสัชกรรม: เห็นสถานะ "ชำระเงินแล้ว" → ทำการจัดยา (auto print ใบยารายการยา)</t>
        </is>
      </c>
      <c r="F103" s="3" t="n"/>
    </row>
    <row r="104" ht="20.25" customHeight="1" s="49">
      <c r="A104" s="1" t="n"/>
      <c r="B104" s="1" t="n"/>
      <c r="C104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4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4" s="5" t="inlineStr">
        <is>
          <t>[12] ระบบย้ายรายการยาไปแสดงที่ Tab "ใบยารอจัด"</t>
        </is>
      </c>
      <c r="F104" s="3" t="n"/>
    </row>
    <row r="105" ht="20.25" customHeight="1" s="49">
      <c r="A105" s="1" t="n"/>
      <c r="B105" s="1" t="n"/>
      <c r="C105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5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5" s="5" t="inlineStr">
        <is>
          <t>[13] เภสัชกรรม: ยืนยันจ่ายยา + จ่ายยา (auto print ใบยารายการยา) + เรียกคิวรับยา</t>
        </is>
      </c>
      <c r="F105" s="3" t="n"/>
    </row>
    <row r="106" ht="20.25" customHeight="1" s="49">
      <c r="A106" s="1" t="n"/>
      <c r="B106" s="1" t="n"/>
      <c r="C106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6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6" s="5" t="inlineStr">
        <is>
          <t>[14] รายการยาจะไปแสดงที่ e-MAR</t>
        </is>
      </c>
      <c r="F106" s="3" t="n"/>
    </row>
    <row r="107" ht="20.25" customHeight="1" s="49">
      <c r="A107" s="1" t="n"/>
      <c r="B107" s="1" t="n"/>
      <c r="C107" s="4" t="inlineStr">
        <is>
          <t>เภสัชกรรมจ่ายยา IPD [ONE DAY] (สร้างใบยา) → ชำระเงิน → เภสัชกรรม จ่ายยา → พยาบาล Ward</t>
        </is>
      </c>
      <c r="D107" s="5" t="inlineStr">
        <is>
          <t>เภสัชกรจ่ายยาผู้ป่วย IPD พร้อมกัน X ราย แยกตามประเภท Order ONE DAY (จ่ายครั้งเดียว) และต้องชำระเงิน</t>
        </is>
      </c>
      <c r="E107" s="5" t="inlineStr">
        <is>
          <t>[15] พยาบาล Ward ทำการจ่ายยา e-MAR (in development process)</t>
        </is>
      </c>
      <c r="F107" s="3" t="n"/>
    </row>
    <row r="108" ht="18.75" customHeight="1" s="49">
      <c r="A108" s="1" t="n"/>
      <c r="B108" s="1" t="n"/>
      <c r="C108" s="4" t="n"/>
      <c r="D108" s="5" t="n"/>
      <c r="E108" s="5" t="n"/>
      <c r="F108" s="3" t="n"/>
    </row>
    <row r="109" ht="18.75" customHeight="1" s="49">
      <c r="A109" s="1" t="inlineStr">
        <is>
          <t>IPD</t>
        </is>
      </c>
      <c r="B109" s="1" t="inlineStr">
        <is>
          <t>Scenario 10:</t>
        </is>
      </c>
      <c r="C109" s="4" t="inlineStr">
        <is>
          <t>เภสัชกรรมจ่ายยา IPD [CONTINUE](สร้างใบยา) → เภสัชกรรม จ่ายยา → พยาบาล Ward</t>
        </is>
      </c>
      <c r="D109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09" s="4" t="inlineStr">
        <is>
          <t>[1] เภสัชกรเข้าเมนู "ห้องยาผู้ป่วยใน" → "ผู้ป่วยใน" → "รับ Continue Order ประจำวัน"</t>
        </is>
      </c>
      <c r="F109" s="3" t="n"/>
    </row>
    <row r="110" ht="18.75" customHeight="1" s="49">
      <c r="A110" s="1" t="n"/>
      <c r="B110" s="1" t="n"/>
      <c r="C110" s="4" t="inlineStr">
        <is>
          <t>เภสัชกรรมจ่ายยา IPD [CONTINUE](สร้างใบยา) → เภสัชกรรม จ่ายยา → พยาบาล Ward</t>
        </is>
      </c>
      <c r="D110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0" s="4" t="inlineStr">
        <is>
          <t>[2] ค้นหา และ เลือกหอผู้ป่วย กดปุ่ม ค้นหา → จะแสดงรายการผู้ป่วยที่ต้องการ ที่ tab รายการผู้ป่วย</t>
        </is>
      </c>
      <c r="F110" s="3" t="n"/>
    </row>
    <row r="111" ht="20.25" customHeight="1" s="49">
      <c r="A111" s="1" t="n"/>
      <c r="B111" s="1" t="n"/>
      <c r="C111" s="4" t="inlineStr">
        <is>
          <t>เภสัชกรรมจ่ายยา IPD [CONTINUE](สร้างใบยา) → เภสัชกรรม จ่ายยา → พยาบาล Ward</t>
        </is>
      </c>
      <c r="D111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1" s="5" t="inlineStr">
        <is>
          <t>[3] เลือกผู้ป่วย → กดปุ่ม Generate ที่เลือก (จำนวนที่เลือก) หรือ Generate ผู้ป่วยที่พร้อมทั้งหมด (จำนวนที่มียา Continue)</t>
        </is>
      </c>
      <c r="F111" s="3" t="n"/>
    </row>
    <row r="112" ht="20.25" customHeight="1" s="49">
      <c r="A112" s="1" t="n"/>
      <c r="B112" s="1" t="n"/>
      <c r="C112" s="4" t="inlineStr">
        <is>
          <t>เภสัชกรรมจ่ายยา IPD [CONTINUE](สร้างใบยา) → เภสัชกรรม จ่ายยา → พยาบาล Ward</t>
        </is>
      </c>
      <c r="D112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2" s="5" t="inlineStr">
        <is>
          <t>[4] เภสัชกร กดปุ่ม Generate ที่เลือก (จำนวนที่เลือก)</t>
        </is>
      </c>
      <c r="F112" s="3" t="n"/>
    </row>
    <row r="113" ht="20.25" customHeight="1" s="49">
      <c r="A113" s="1" t="n"/>
      <c r="B113" s="1" t="n"/>
      <c r="C113" s="4" t="inlineStr">
        <is>
          <t>เภสัชกรรมจ่ายยา IPD [CONTINUE](สร้างใบยา) → เภสัชกรรม จ่ายยา → พยาบาล Ward</t>
        </is>
      </c>
      <c r="D113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3" s="5" t="inlineStr">
        <is>
          <t>[5] ระบบแสดง รายการใบยา Continue ที่ tab รายการใบยา Continue</t>
        </is>
      </c>
      <c r="F113" s="3" t="n"/>
    </row>
    <row r="114" ht="20.25" customHeight="1" s="49">
      <c r="A114" s="1" t="n"/>
      <c r="B114" s="1" t="n"/>
      <c r="C114" s="4" t="inlineStr">
        <is>
          <t>เภสัชกรรมจ่ายยา IPD [CONTINUE](สร้างใบยา) → เภสัชกรรม จ่ายยา → พยาบาล Ward</t>
        </is>
      </c>
      <c r="D114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4" s="5" t="inlineStr">
        <is>
          <t>[6] เภสัชกร เลือกรายการยา พร้อม พิมพ์ใบยา และ พิมพ์ฉลากยา</t>
        </is>
      </c>
      <c r="F114" s="3" t="n"/>
    </row>
    <row r="115" ht="20.25" customHeight="1" s="49">
      <c r="A115" s="1" t="n"/>
      <c r="B115" s="1" t="n"/>
      <c r="C115" s="4" t="inlineStr">
        <is>
          <t>เภสัชกรรมจ่ายยา IPD [CONTINUE](สร้างใบยา) → เภสัชกรรม จ่ายยา → พยาบาล Ward</t>
        </is>
      </c>
      <c r="D115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5" s="5" t="inlineStr">
        <is>
          <t>[7] เภสัชกร กดปุ่ม จ่ายยา (ได้ทั้งแบบทีละรายการ และ แบบหลายรายการ)</t>
        </is>
      </c>
      <c r="F115" s="3" t="n"/>
    </row>
    <row r="116" ht="20.25" customHeight="1" s="49">
      <c r="A116" s="1" t="n"/>
      <c r="B116" s="1" t="n"/>
      <c r="C116" s="4" t="inlineStr">
        <is>
          <t>เภสัชกรรมจ่ายยา IPD [CONTINUE](สร้างใบยา) → เภสัชกรรม จ่ายยา → พยาบาล Ward</t>
        </is>
      </c>
      <c r="D116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6" s="5" t="inlineStr">
        <is>
          <t>[8] รายการยาจะไปแสดงที่ e-MAR</t>
        </is>
      </c>
      <c r="F116" s="3" t="n"/>
    </row>
    <row r="117" ht="20.25" customHeight="1" s="49">
      <c r="A117" s="1" t="n"/>
      <c r="B117" s="1" t="n"/>
      <c r="C117" s="4" t="inlineStr">
        <is>
          <t>เภสัชกรรมจ่ายยา IPD [CONTINUE](สร้างใบยา) → เภสัชกรรม จ่ายยา → พยาบาล Ward</t>
        </is>
      </c>
      <c r="D117" s="4" t="inlineStr">
        <is>
          <t>เภสัชกรจ่ายยาผู้ป่วย IPD พร้อมกัน X ราย แยกตามประเภท และ CONTINUE (จ่ายซ้ำทุกวันตาม EMAR) โดยไม่รอการชำระเงิน</t>
        </is>
      </c>
      <c r="E117" s="5" t="inlineStr">
        <is>
          <t>[9] พยาบาล Ward ทำการจ่ายยา e-MAR (in development process)</t>
        </is>
      </c>
      <c r="F117" s="3" t="n"/>
    </row>
    <row r="118" ht="18.75" customHeight="1" s="49">
      <c r="A118" s="1" t="n"/>
      <c r="B118" s="1" t="n"/>
      <c r="C118" s="4" t="n"/>
      <c r="D118" s="5" t="n"/>
      <c r="E118" s="5" t="n"/>
      <c r="F118" s="3" t="n"/>
    </row>
    <row r="119" ht="20.25" customHeight="1" s="49">
      <c r="A119" s="1" t="inlineStr">
        <is>
          <t>IPD</t>
        </is>
      </c>
      <c r="B119" s="1" t="inlineStr">
        <is>
          <t>Scenario 11:</t>
        </is>
      </c>
      <c r="C119" s="4" t="inlineStr">
        <is>
          <t>จนท. Lab check-in + ลงผล + แพทย์อ่านผล</t>
        </is>
      </c>
      <c r="D119" s="5" t="inlineStr">
        <is>
          <t>จนท. Lab ดำเนินการตรวจและบันทึกผลผู้ป่วย IPD ตามประเภท Order ONE DAY</t>
        </is>
      </c>
      <c r="E119" s="5" t="inlineStr">
        <is>
          <t>[1] ระบบส่ง Order เข้าคิว Lab (auto, จาก SC7)</t>
        </is>
      </c>
      <c r="F119" s="3" t="n"/>
    </row>
    <row r="120" ht="20.25" customHeight="1" s="49">
      <c r="A120" s="1" t="n"/>
      <c r="B120" s="1" t="n"/>
      <c r="C120" s="4" t="inlineStr">
        <is>
          <t>จนท. Lab check-in + ลงผล + แพทย์อ่านผล</t>
        </is>
      </c>
      <c r="D120" s="5" t="inlineStr">
        <is>
          <t>จนท. Lab ดำเนินการตรวจและบันทึกผลผู้ป่วย IPD ตามประเภท Order ONE DAY</t>
        </is>
      </c>
      <c r="E120" s="5" t="inlineStr">
        <is>
          <t>[2] จนท. เข้าเมนู ห้องปฎิบัติการ → รายการแล็บ</t>
        </is>
      </c>
      <c r="F120" s="3" t="n"/>
    </row>
    <row r="121" ht="20.25" customHeight="1" s="49">
      <c r="A121" s="1" t="n"/>
      <c r="B121" s="1" t="n"/>
      <c r="C121" s="4" t="inlineStr">
        <is>
          <t>จนท. Lab check-in + ลงผล + แพทย์อ่านผล</t>
        </is>
      </c>
      <c r="D121" s="5" t="inlineStr">
        <is>
          <t>จนท. Lab ดำเนินการตรวจและบันทึกผลผู้ป่วย IPD ตามประเภท Order ONE DAY</t>
        </is>
      </c>
      <c r="E121" s="5" t="inlineStr">
        <is>
          <t xml:space="preserve">    → [2a] รายการแล็บ ที่มาจากการ Order ONE DAY</t>
        </is>
      </c>
      <c r="F121" s="3" t="n"/>
    </row>
    <row r="122" ht="20.25" customHeight="1" s="49">
      <c r="A122" s="1" t="n"/>
      <c r="B122" s="1" t="n"/>
      <c r="C122" s="4" t="inlineStr">
        <is>
          <t>จนท. Lab check-in + ลงผล + แพทย์อ่านผล</t>
        </is>
      </c>
      <c r="D122" s="5" t="inlineStr">
        <is>
          <t>จนท. Lab ดำเนินการตรวจและบันทึกผลผู้ป่วย IPD ตามประเภท Order ONE DAY</t>
        </is>
      </c>
      <c r="E122" s="6" t="inlineStr">
        <is>
          <t xml:space="preserve">    → [2b] รายการแล็บ ที่มาจากการ Order CONTINUE จะ Order ซ้ำตามรอบที่กำหนด (เช่น ทุกเช้า) จนกว่าจะ Stop โดยปรกติ lab และ radiology จะไม่มี</t>
        </is>
      </c>
      <c r="F122" s="3" t="n"/>
    </row>
    <row r="123" ht="20.25" customHeight="1" s="49">
      <c r="A123" s="1" t="n"/>
      <c r="B123" s="1" t="n"/>
      <c r="C123" s="4" t="inlineStr">
        <is>
          <t>จนท. Lab check-in + ลงผล + แพทย์อ่านผล</t>
        </is>
      </c>
      <c r="D123" s="5" t="inlineStr">
        <is>
          <t>จนท. Lab ดำเนินการตรวจและบันทึกผลผู้ป่วย IPD ตามประเภท Order ONE DAY</t>
        </is>
      </c>
      <c r="E123" s="5" t="inlineStr">
        <is>
          <t>[3] จนท.  ไปที่ tab รอเช็คอิน</t>
        </is>
      </c>
      <c r="F123" s="3" t="n"/>
    </row>
    <row r="124" ht="20.25" customHeight="1" s="49">
      <c r="A124" s="1" t="n"/>
      <c r="B124" s="1" t="n"/>
      <c r="C124" s="4" t="inlineStr">
        <is>
          <t>จนท. Lab check-in + ลงผล + แพทย์อ่านผล</t>
        </is>
      </c>
      <c r="D124" s="5" t="inlineStr">
        <is>
          <t>จนท. Lab ดำเนินการตรวจและบันทึกผลผู้ป่วย IPD ตามประเภท Order ONE DAY</t>
        </is>
      </c>
      <c r="E124" s="5" t="inlineStr">
        <is>
          <t>[4] จนท.  กดเข้าไปที่รายการ lab  → ไปที่หน้า Patient Profile → รายละเอียด Lab Task</t>
        </is>
      </c>
      <c r="F124" s="3" t="n"/>
    </row>
    <row r="125" ht="20.25" customHeight="1" s="49">
      <c r="A125" s="1" t="n"/>
      <c r="B125" s="1" t="n"/>
      <c r="C125" s="4" t="inlineStr">
        <is>
          <t>จนท. Lab check-in + ลงผล + แพทย์อ่านผล</t>
        </is>
      </c>
      <c r="D125" s="5" t="inlineStr">
        <is>
          <t>จนท. Lab ดำเนินการตรวจและบันทึกผลผู้ป่วย IPD ตามประเภท Order ONE DAY</t>
        </is>
      </c>
      <c r="E125" s="5" t="inlineStr">
        <is>
          <t>[5] จนท. กดปุ่ม เช็คอิน (รายละเอียด Lab Task) + Status Log = Checked in to queue</t>
        </is>
      </c>
      <c r="F125" s="3" t="n"/>
    </row>
    <row r="126" ht="20.25" customHeight="1" s="49">
      <c r="A126" s="1" t="n"/>
      <c r="B126" s="1" t="n"/>
      <c r="C126" s="4" t="inlineStr">
        <is>
          <t>จนท. Lab check-in + ลงผล + แพทย์อ่านผล</t>
        </is>
      </c>
      <c r="D126" s="5" t="inlineStr">
        <is>
          <t>จนท. Lab ดำเนินการตรวจและบันทึกผลผู้ป่วย IPD ตามประเภท Order ONE DAY</t>
        </is>
      </c>
      <c r="E126" s="5" t="inlineStr">
        <is>
          <t>[6] จนท. เลือกประเภทการเก็บตัวอย่าง → กดปุ่ม ยืนยัน (รายละเอียด Lab Task) + Status Log = Specimen collected</t>
        </is>
      </c>
      <c r="F126" s="3" t="n"/>
    </row>
    <row r="127" ht="20.25" customHeight="1" s="49">
      <c r="A127" s="4" t="n"/>
      <c r="B127" s="4" t="n"/>
      <c r="C127" s="4" t="inlineStr">
        <is>
          <t>จนท. Lab check-in + ลงผล + แพทย์อ่านผล</t>
        </is>
      </c>
      <c r="D127" s="5" t="inlineStr">
        <is>
          <t>จนท. Lab ดำเนินการตรวจและบันทึกผลผู้ป่วย IPD ตามประเภท Order ONE DAY</t>
        </is>
      </c>
      <c r="E127" s="5" t="inlineStr">
        <is>
          <t>[7] จนท. กดปุ่ม เก็บแล้ว (รายละเอียด Lab Task) + พิมพ์บัตรคิว + Status Log = Specimen containers collected</t>
        </is>
      </c>
      <c r="F127" s="3" t="n"/>
    </row>
    <row r="128" ht="20.25" customHeight="1" s="49">
      <c r="A128" s="4" t="n"/>
      <c r="B128" s="4" t="n"/>
      <c r="C128" s="4" t="inlineStr">
        <is>
          <t>จนท. Lab check-in + ลงผล + แพทย์อ่านผล</t>
        </is>
      </c>
      <c r="D128" s="5" t="inlineStr">
        <is>
          <t>จนท. Lab ดำเนินการตรวจและบันทึกผลผู้ป่วย IPD ตามประเภท Order ONE DAY</t>
        </is>
      </c>
      <c r="E128" s="5" t="inlineStr">
        <is>
          <t>[8] จนท. กดปุ่ม เก็บแล้ว (Container) + พิมพ์สติกเกอร์ + Status Log = Specimen containers accepted</t>
        </is>
      </c>
      <c r="F128" s="3" t="n"/>
    </row>
    <row r="129" ht="20.25" customHeight="1" s="49">
      <c r="A129" s="4" t="n"/>
      <c r="B129" s="4" t="n"/>
      <c r="C129" s="4" t="inlineStr">
        <is>
          <t>จนท. Lab check-in + ลงผล + แพทย์อ่านผล</t>
        </is>
      </c>
      <c r="D129" s="5" t="inlineStr">
        <is>
          <t>จนท. Lab ดำเนินการตรวจและบันทึกผลผู้ป่วย IPD ตามประเภท Order ONE DAY</t>
        </is>
      </c>
      <c r="E129" s="5" t="inlineStr">
        <is>
          <t>[9] จนท. กดปุ่ม รับแล้ว / ปฎิเสธ (Container) → Status = รับแล้ว (รายละเอียด Lab Task) + Status Log = Specimen accepted by lab</t>
        </is>
      </c>
      <c r="F129" s="3" t="n"/>
    </row>
    <row r="130" ht="20.25" customHeight="1" s="49">
      <c r="A130" s="4" t="n"/>
      <c r="B130" s="4" t="n"/>
      <c r="C130" s="4" t="inlineStr">
        <is>
          <t>จนท. Lab check-in + ลงผล + แพทย์อ่านผล</t>
        </is>
      </c>
      <c r="D130" s="5" t="inlineStr">
        <is>
          <t>จนท. Lab ดำเนินการตรวจและบันทึกผลผู้ป่วย IPD ตามประเภท Order ONE DAY</t>
        </is>
      </c>
      <c r="E130" s="5" t="inlineStr">
        <is>
          <t>[10] จนท. ลงผล Lab / interface ผล Lab</t>
        </is>
      </c>
      <c r="F130" s="3" t="n"/>
    </row>
    <row r="131" ht="20.25" customHeight="1" s="49">
      <c r="A131" s="4" t="n"/>
      <c r="B131" s="4" t="n"/>
      <c r="C131" s="4" t="inlineStr">
        <is>
          <t>จนท. Lab check-in + ลงผล + แพทย์อ่านผล</t>
        </is>
      </c>
      <c r="D131" s="5" t="inlineStr">
        <is>
          <t>จนท. Lab ดำเนินการตรวจและบันทึกผลผู้ป่วย IPD ตามประเภท Order ONE DAY</t>
        </is>
      </c>
      <c r="E131" s="5" t="inlineStr">
        <is>
          <t>[11] จนท. กดปุ่มบันทึกร่าง → กดปุ่ม Patial Report / Final Report Status = ผลอออก (Lab Tests) + Status = เสร็จสิ้น (รายละเอียด Lab Task) + Status Log = Result completed</t>
        </is>
      </c>
      <c r="F131" s="3" t="n"/>
    </row>
    <row r="132" ht="20.25" customHeight="1" s="49">
      <c r="A132" s="4" t="n"/>
      <c r="B132" s="4" t="n"/>
      <c r="C132" s="4" t="inlineStr">
        <is>
          <t>จนท. Lab check-in + ลงผล + แพทย์อ่านผล</t>
        </is>
      </c>
      <c r="D132" s="5" t="inlineStr">
        <is>
          <t>จนท. Lab ดำเนินการตรวจและบันทึกผลผู้ป่วย IPD ตามประเภท Order ONE DAY</t>
        </is>
      </c>
      <c r="E132" s="5" t="inlineStr">
        <is>
          <t>[12] แพทย์ ไปที่หน้า Pratient Profile → เมนู Lab result</t>
        </is>
      </c>
      <c r="F132" s="3" t="n"/>
    </row>
    <row r="133" ht="20.25" customHeight="1" s="49">
      <c r="A133" s="4" t="n"/>
      <c r="B133" s="4" t="n"/>
      <c r="C133" s="4" t="inlineStr">
        <is>
          <t>จนท. Lab check-in + ลงผล + แพทย์อ่านผล</t>
        </is>
      </c>
      <c r="D133" s="5" t="inlineStr">
        <is>
          <t>จนท. Lab ดำเนินการตรวจและบันทึกผลผู้ป่วย IPD ตามประเภท Order ONE DAY</t>
        </is>
      </c>
      <c r="E133" s="5" t="inlineStr">
        <is>
          <t>[13] แพทย์ เลือกรายการอ่าน Lab ที่ Status = เสร็จสิ้น → กดปุ่ม Acknowledge</t>
        </is>
      </c>
      <c r="F133" s="3" t="n"/>
    </row>
    <row r="134" ht="20.25" customHeight="1" s="49">
      <c r="A134" s="4" t="n"/>
      <c r="B134" s="4" t="n"/>
      <c r="C134" s="4" t="inlineStr">
        <is>
          <t>จนท. Lab check-in + ลงผล + แพทย์อ่านผล</t>
        </is>
      </c>
      <c r="D134" s="5" t="inlineStr">
        <is>
          <t>จนท. Lab ดำเนินการตรวจและบันทึกผลผู้ป่วย IPD ตามประเภท Order ONE DAY</t>
        </is>
      </c>
      <c r="E134" s="5" t="inlineStr">
        <is>
          <t>[14] แพทย์ กดปุ่ม ดาวน์โหลด หรือ พิมพ์ ผล Lab</t>
        </is>
      </c>
      <c r="F134" s="3" t="n"/>
    </row>
    <row r="135" ht="18.75" customHeight="1" s="49">
      <c r="A135" s="4" t="n"/>
      <c r="B135" s="4" t="n"/>
      <c r="C135" s="4" t="n"/>
      <c r="D135" s="4" t="n"/>
      <c r="E135" s="4" t="n"/>
      <c r="F135" s="3" t="n"/>
    </row>
    <row r="136" ht="20.25" customHeight="1" s="49">
      <c r="A136" s="1" t="inlineStr">
        <is>
          <t>IPD</t>
        </is>
      </c>
      <c r="B136" s="1" t="inlineStr">
        <is>
          <t>Scenario 12:</t>
        </is>
      </c>
      <c r="C136" s="4" t="inlineStr">
        <is>
          <t>จนท. Xray check-in + ลงผล + แพทย์อ่านผล</t>
        </is>
      </c>
      <c r="D136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36" s="5" t="inlineStr">
        <is>
          <t>[1] ระบบส่ง Order เข้าคิว Xray (auto, จาก SC7)</t>
        </is>
      </c>
      <c r="F136" s="3" t="n"/>
    </row>
    <row r="137" ht="20.25" customHeight="1" s="49">
      <c r="A137" s="4" t="n"/>
      <c r="B137" s="4" t="n"/>
      <c r="C137" s="4" t="inlineStr">
        <is>
          <t>จนท. Xray check-in + ลงผล + แพทย์อ่านผล</t>
        </is>
      </c>
      <c r="D137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37" s="5" t="inlineStr">
        <is>
          <t>[2] จนท. เข้าเมนู ห้องรังสี → รายงานรังสี</t>
        </is>
      </c>
      <c r="F137" s="3" t="n"/>
    </row>
    <row r="138" ht="20.25" customHeight="1" s="49">
      <c r="A138" s="4" t="n"/>
      <c r="B138" s="4" t="n"/>
      <c r="C138" s="4" t="inlineStr">
        <is>
          <t>จนท. Xray check-in + ลงผล + แพทย์อ่านผล</t>
        </is>
      </c>
      <c r="D138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38" s="5" t="inlineStr">
        <is>
          <t xml:space="preserve">    → [2a] รายงานรังสี ที่มาจากการ Order ONE DAY</t>
        </is>
      </c>
      <c r="F138" s="3" t="n"/>
    </row>
    <row r="139" ht="20.25" customHeight="1" s="49">
      <c r="A139" s="4" t="n"/>
      <c r="B139" s="4" t="n"/>
      <c r="C139" s="4" t="inlineStr">
        <is>
          <t>จนท. Xray check-in + ลงผล + แพทย์อ่านผล</t>
        </is>
      </c>
      <c r="D139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39" s="6" t="inlineStr">
        <is>
          <t xml:space="preserve">    → [2b] รายงานรังสี ที่มาจากการ Order CONTINUE จะ Order ซ้ำตามรอบที่กำหนด (เช่น ทุกเช้า) จนกว่าจะ Stop โดยปรกติ lab และ radiology จะไม่มี</t>
        </is>
      </c>
      <c r="F139" s="3" t="n"/>
    </row>
    <row r="140" ht="20.25" customHeight="1" s="49">
      <c r="A140" s="4" t="n"/>
      <c r="B140" s="4" t="n"/>
      <c r="C140" s="4" t="inlineStr">
        <is>
          <t>จนท. Xray check-in + ลงผล + แพทย์อ่านผล</t>
        </is>
      </c>
      <c r="D140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0" s="5" t="inlineStr">
        <is>
          <t>[3] จนท.  ไปที่ tab รอ Check-in</t>
        </is>
      </c>
      <c r="F140" s="3" t="n"/>
    </row>
    <row r="141" ht="20.25" customHeight="1" s="49">
      <c r="A141" s="4" t="n"/>
      <c r="B141" s="4" t="n"/>
      <c r="C141" s="4" t="inlineStr">
        <is>
          <t>จนท. Xray check-in + ลงผล + แพทย์อ่านผล</t>
        </is>
      </c>
      <c r="D141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1" s="5" t="inlineStr">
        <is>
          <t>[4] จนท.  กดเข้าไปที่รายการ lab  → ไปที่หน้า Patient Profile → รายละเอียดรังสี</t>
        </is>
      </c>
      <c r="F141" s="3" t="n"/>
    </row>
    <row r="142" ht="20.25" customHeight="1" s="49">
      <c r="A142" s="4" t="n"/>
      <c r="B142" s="4" t="n"/>
      <c r="C142" s="4" t="inlineStr">
        <is>
          <t>จนท. Xray check-in + ลงผล + แพทย์อ่านผล</t>
        </is>
      </c>
      <c r="D142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2" s="5" t="inlineStr">
        <is>
          <t>[5] จนท. กดปุ่ม เช็คอิน (รายละเอียดรังสี) + พิมพ์ใบยินยอม + Status Log = Check-in</t>
        </is>
      </c>
      <c r="F142" s="3" t="n"/>
    </row>
    <row r="143" ht="20.25" customHeight="1" s="49">
      <c r="A143" s="4" t="n"/>
      <c r="B143" s="4" t="n"/>
      <c r="C143" s="4" t="inlineStr">
        <is>
          <t>จนท. Xray check-in + ลงผล + แพทย์อ่านผล</t>
        </is>
      </c>
      <c r="D143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3" s="5" t="inlineStr">
        <is>
          <t>[6] จนท. เลือกประเภทการเช็คอิน → กดปุ่ม ยืนยัน (รายละเอียดรังสี) + Status Log = Check-in</t>
        </is>
      </c>
      <c r="F143" s="3" t="n"/>
    </row>
    <row r="144" ht="20.25" customHeight="1" s="49">
      <c r="A144" s="4" t="n"/>
      <c r="B144" s="4" t="n"/>
      <c r="C144" s="4" t="inlineStr">
        <is>
          <t>จนท. Xray check-in + ลงผล + แพทย์อ่านผล</t>
        </is>
      </c>
      <c r="D144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4" s="5" t="inlineStr">
        <is>
          <t>[7] จนท. กดปุ่ม เริ่มถ่ายภาพ (รายละเอียดรังสี) + Status Log = เริ่มถ่ายภาพ</t>
        </is>
      </c>
      <c r="F144" s="3" t="n"/>
    </row>
    <row r="145" ht="20.25" customHeight="1" s="49">
      <c r="A145" s="4" t="n"/>
      <c r="B145" s="4" t="n"/>
      <c r="C145" s="4" t="inlineStr">
        <is>
          <t>จนท. Xray check-in + ลงผล + แพทย์อ่านผล</t>
        </is>
      </c>
      <c r="D145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5" s="5" t="inlineStr">
        <is>
          <t>[8] จนท. กดปุ่ม ถ่ายภาพแล้ว (รายละเอียดรังสี) + Status Log = ถ่ายภาพเสร็จสิ้น</t>
        </is>
      </c>
      <c r="F145" s="3" t="n"/>
    </row>
    <row r="146" ht="20.25" customHeight="1" s="49">
      <c r="A146" s="4" t="n"/>
      <c r="B146" s="4" t="n"/>
      <c r="C146" s="4" t="inlineStr">
        <is>
          <t>จนท. Xray check-in + ลงผล + แพทย์อ่านผล</t>
        </is>
      </c>
      <c r="D146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6" s="5" t="inlineStr">
        <is>
          <t>[9] จนท. เลือกแพทย์ผู้อ่านผล (รายละเอียดรังสี) → Status = รออ่านผล (รายละเอียดรังสี) + Status Log = ถ่ายภาพเสร็จสิ้น</t>
        </is>
      </c>
      <c r="F146" s="3" t="n"/>
    </row>
    <row r="147" ht="20.25" customHeight="1" s="49">
      <c r="A147" s="4" t="n"/>
      <c r="B147" s="4" t="n"/>
      <c r="C147" s="4" t="inlineStr">
        <is>
          <t>จนท. Xray check-in + ลงผล + แพทย์อ่านผล</t>
        </is>
      </c>
      <c r="D147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7" s="5" t="inlineStr">
        <is>
          <t>[10] แพทย์. ลงข้อมูล Preparation note + บันทึก</t>
        </is>
      </c>
      <c r="F147" s="3" t="n"/>
    </row>
    <row r="148" ht="20.25" customHeight="1" s="49">
      <c r="A148" s="4" t="n"/>
      <c r="B148" s="4" t="n"/>
      <c r="C148" s="4" t="inlineStr">
        <is>
          <t>จนท. Xray check-in + ลงผล + แพทย์อ่านผล</t>
        </is>
      </c>
      <c r="D148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8" s="5" t="inlineStr">
        <is>
          <t>[11] พยาบาล. ลงข้อมูล Nurse note + Imaging nurse note + Assessment (A) + Intervention (I) + Evaluation (E) + บันทึก</t>
        </is>
      </c>
      <c r="F148" s="3" t="n"/>
    </row>
    <row r="149" ht="20.25" customHeight="1" s="49">
      <c r="A149" s="4" t="n"/>
      <c r="B149" s="4" t="n"/>
      <c r="C149" s="4" t="inlineStr">
        <is>
          <t>จนท. Xray check-in + ลงผล + แพทย์อ่านผล</t>
        </is>
      </c>
      <c r="D149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49" s="5" t="inlineStr">
        <is>
          <t>[12] พยาบาล. Imaging nurse note + บันทึก</t>
        </is>
      </c>
      <c r="F149" s="3" t="n"/>
    </row>
    <row r="150" ht="20.25" customHeight="1" s="49">
      <c r="A150" s="4" t="n"/>
      <c r="B150" s="4" t="n"/>
      <c r="C150" s="4" t="inlineStr">
        <is>
          <t>จนท. Xray check-in + ลงผล + แพทย์อ่านผล</t>
        </is>
      </c>
      <c r="D150" s="5" t="inlineStr">
        <is>
          <t>จนท. Xray ดำเนินการตรวจและบันทึกผลผู้ป่วย IPD พร้อมกัน X ราย แยกตามประเภท Order ONE DAY</t>
        </is>
      </c>
      <c r="E150" s="5" t="inlineStr">
        <is>
          <t>[13] แพทย์. ลงข้อมูล รายงานผลตรวจทางรังสี  + บันทึก Status = เสร็จสิ้น (รายละเอียดรังสี) + Status Log = อ่านผล</t>
        </is>
      </c>
      <c r="F150" s="3" t="n"/>
    </row>
    <row r="151" ht="18.75" customHeight="1" s="49">
      <c r="A151" s="4" t="n"/>
      <c r="B151" s="4" t="n"/>
      <c r="C151" s="4" t="n"/>
      <c r="D151" s="4" t="n"/>
      <c r="E151" s="4" t="n"/>
      <c r="F151" s="3" t="n"/>
    </row>
    <row r="152" ht="20.25" customHeight="1" s="49">
      <c r="A152" s="1" t="inlineStr">
        <is>
          <t>IPD</t>
        </is>
      </c>
      <c r="B152" s="1" t="inlineStr">
        <is>
          <t>Scenario 13:</t>
        </is>
      </c>
      <c r="C152" s="4" t="inlineStr">
        <is>
          <t>การเงินเรียกเก็บระหว่างพักรักษา (Interim Billing)</t>
        </is>
      </c>
      <c r="D152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2" s="5" t="inlineStr">
        <is>
          <t>[1] การเงิน: เข้าเมนู Cashier ค้นหาข้อมูลผู้ป่วย ดูข้อมูลบัญชีรายการค่าใช้จ่าย (ยา+Lab+Xray+ค่าห้อง) ทุกรอบ 3 วัน นับจากวัน Admit</t>
        </is>
      </c>
      <c r="F152" s="3" t="n"/>
    </row>
    <row r="153" ht="20.25" customHeight="1" s="49">
      <c r="A153" s="1" t="n"/>
      <c r="B153" s="1" t="n"/>
      <c r="C153" s="4" t="inlineStr">
        <is>
          <t>การเงินเรียกเก็บระหว่างพักรักษา (Interim Billing)</t>
        </is>
      </c>
      <c r="D153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3" s="5" t="inlineStr">
        <is>
          <t>[2] การเงิน: กดเลือก tab ตามสิทธิ เพื่อตรวจสอบสิทธิ์ + ย้ายรายการ Chage item ไปใช้สิทธิ์ของผู้ป่วย</t>
        </is>
      </c>
      <c r="F153" s="3" t="n"/>
    </row>
    <row r="154" ht="20.25" customHeight="1" s="49">
      <c r="A154" s="1" t="n"/>
      <c r="B154" s="1" t="n"/>
      <c r="C154" s="4" t="inlineStr">
        <is>
          <t>การเงินเรียกเก็บระหว่างพักรักษา (Interim Billing)</t>
        </is>
      </c>
      <c r="D154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4" s="5" t="inlineStr">
        <is>
          <t>[3] การเงิน: กดเลือก tab รายการ เลือกรายการที่ต้องชำระ + กดสร้างใบแจ้งหนี้</t>
        </is>
      </c>
      <c r="F154" s="3" t="n"/>
    </row>
    <row r="155" ht="20.25" customHeight="1" s="49">
      <c r="A155" s="1" t="n"/>
      <c r="B155" s="1" t="n"/>
      <c r="C155" s="4" t="inlineStr">
        <is>
          <t>การเงินเรียกเก็บระหว่างพักรักษา (Interim Billing)</t>
        </is>
      </c>
      <c r="D155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5" s="5" t="inlineStr">
        <is>
          <t>[4] การเงิน: เลือกสิทธิ์การชำระ และ กดปุ่ม จ่าย + กดปุ่ม ยืนยัน (auto print ใบแจ้งหนี้)</t>
        </is>
      </c>
      <c r="F155" s="3" t="n"/>
    </row>
    <row r="156" ht="20.25" customHeight="1" s="49">
      <c r="A156" s="1" t="n"/>
      <c r="B156" s="1" t="n"/>
      <c r="C156" s="4" t="inlineStr">
        <is>
          <t>การเงินเรียกเก็บระหว่างพักรักษา (Interim Billing)</t>
        </is>
      </c>
      <c r="D156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6" s="5" t="inlineStr">
        <is>
          <t>[5] ระบบจะสร้างใบเสร็จ ที่ผูกกับ รหัสใบแจ้งหนี้</t>
        </is>
      </c>
      <c r="F156" s="3" t="n"/>
    </row>
    <row r="157" ht="20.25" customHeight="1" s="49">
      <c r="A157" s="1" t="n"/>
      <c r="B157" s="1" t="n"/>
      <c r="C157" s="4" t="inlineStr">
        <is>
          <t>การเงินเรียกเก็บระหว่างพักรักษา (Interim Billing)</t>
        </is>
      </c>
      <c r="D157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7" s="5" t="inlineStr">
        <is>
          <t>[6] ระบบบันทึกยอดที่ชำระแล้ว หักออกจากยอดค้างสะสม → รอบถัดไปเริ่มนับใหม่</t>
        </is>
      </c>
      <c r="F157" s="3" t="n"/>
    </row>
    <row r="158" ht="20.25" customHeight="1" s="49">
      <c r="A158" s="1" t="n"/>
      <c r="B158" s="1" t="n"/>
      <c r="C158" s="4" t="inlineStr">
        <is>
          <t>การเงินเรียกเก็บระหว่างพักรักษา (Interim Billing)</t>
        </is>
      </c>
      <c r="D158" s="5" t="inlineStr">
        <is>
          <t>ญาติผู้ป่วยชำระค่ารักษาสะสมของผู้ป่วย IPD ทุก 3 วัน ตลอดช่วงพักรักษาในโรงพยาบาล</t>
        </is>
      </c>
      <c r="E158" s="5" t="inlineStr">
        <is>
          <t xml:space="preserve">   (วนซ้ำทุก 3 วัน จนกว่าจะถึง Discharge — รอบสุดท้ายไปรวมที่ SC12)</t>
        </is>
      </c>
      <c r="F158" s="3" t="n"/>
    </row>
    <row r="159" ht="18.75" customHeight="1" s="49">
      <c r="A159" s="1" t="n"/>
      <c r="B159" s="1" t="n"/>
      <c r="C159" s="4" t="n"/>
      <c r="D159" s="5" t="n"/>
      <c r="E159" s="5" t="n"/>
      <c r="F159" s="3" t="n"/>
    </row>
    <row r="160" ht="20.25" customHeight="1" s="49">
      <c r="A160" s="1" t="inlineStr">
        <is>
          <t>IPD</t>
        </is>
      </c>
      <c r="B160" s="1" t="inlineStr">
        <is>
          <t>Scenario 14:</t>
        </is>
      </c>
      <c r="C160" s="4" t="inlineStr">
        <is>
          <t>Discharge Process (ปิดยอดครั้งสุดท้าย)</t>
        </is>
      </c>
      <c r="D160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0" s="5" t="inlineStr">
        <is>
          <t>[1] แพทย์บันทึก Discharge Summary + วินิจฉัยสุดท้าย</t>
        </is>
      </c>
      <c r="F160" s="3" t="n"/>
    </row>
    <row r="161" ht="20.25" customHeight="1" s="49">
      <c r="A161" s="1" t="n"/>
      <c r="B161" s="1" t="n"/>
      <c r="C161" s="4" t="inlineStr">
        <is>
          <t>Discharge Process (ปิดยอดครั้งสุดท้าย)</t>
        </is>
      </c>
      <c r="D161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1" s="5" t="inlineStr">
        <is>
          <t>[2] แพทย์สั่งยากลับบ้าน (Discharge Medication — ใช้ pattern ตะกร้าเดียวกับ SC7/SC9)</t>
        </is>
      </c>
      <c r="F161" s="3" t="n"/>
    </row>
    <row r="162" ht="20.25" customHeight="1" s="49">
      <c r="A162" s="1" t="n"/>
      <c r="B162" s="1" t="n"/>
      <c r="C162" s="4" t="inlineStr">
        <is>
          <t>Discharge Process (ปิดยอดครั้งสุดท้าย)</t>
        </is>
      </c>
      <c r="D162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2" s="5" t="inlineStr">
        <is>
          <t>[3] แพทย์ยืนยัน Discharge → ลงเอกสาร สรุปจำหน่าย (Discharge Summary)</t>
        </is>
      </c>
      <c r="F162" s="3" t="n"/>
    </row>
    <row r="163" ht="20.25" customHeight="1" s="49">
      <c r="A163" s="1" t="n"/>
      <c r="B163" s="1" t="n"/>
      <c r="C163" s="4" t="inlineStr">
        <is>
          <t>Discharge Process (ปิดยอดครั้งสุดท้าย)</t>
        </is>
      </c>
      <c r="D163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3" s="5" t="inlineStr">
        <is>
          <t>[4] การเงิน: เปิดรายการ IPD รอปิด Bill (ยอดคงเหลือหลังหักที่จ่ายไปแล้วทุก 3 วันจาก SC11)</t>
        </is>
      </c>
      <c r="F163" s="3" t="n"/>
    </row>
    <row r="164" ht="20.25" customHeight="1" s="49">
      <c r="A164" s="1" t="n"/>
      <c r="B164" s="1" t="n"/>
      <c r="C164" s="4" t="inlineStr">
        <is>
          <t>Discharge Process (ปิดยอดครั้งสุดท้าย)</t>
        </is>
      </c>
      <c r="D164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4" s="5" t="inlineStr">
        <is>
          <t>[5] การเงิน: ออกใบแจ้งหนี้ยอดสุดท้าย → เลือกสิทธิ์การชำระ และ กดปุ่ม จ่าย + กดปุ่ม ยืนยัน (auto print ใบแจ้งหนี้)</t>
        </is>
      </c>
      <c r="F164" s="3" t="n"/>
    </row>
    <row r="165" ht="20.25" customHeight="1" s="49">
      <c r="A165" s="1" t="n"/>
      <c r="B165" s="1" t="n"/>
      <c r="C165" s="4" t="inlineStr">
        <is>
          <t>Discharge Process (ปิดยอดครั้งสุดท้าย)</t>
        </is>
      </c>
      <c r="D165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5" s="5" t="inlineStr">
        <is>
          <t>[6] การเงิน: ออกใบเสร็จรับเงิน (พิมพ์ใบเสร็จรับเงิน)</t>
        </is>
      </c>
      <c r="F165" s="3" t="n"/>
    </row>
    <row r="166" ht="20.25" customHeight="1" s="49">
      <c r="A166" s="1" t="n"/>
      <c r="B166" s="1" t="n"/>
      <c r="C166" s="4" t="inlineStr">
        <is>
          <t>Discharge Process (ปิดยอดครั้งสุดท้าย)</t>
        </is>
      </c>
      <c r="D166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6" s="5" t="inlineStr">
        <is>
          <t>[7] การเงิน: กดปุ่ม ปิด Admission</t>
        </is>
      </c>
      <c r="F166" s="3" t="n"/>
    </row>
    <row r="167" ht="20.25" customHeight="1" s="49">
      <c r="A167" s="1" t="n"/>
      <c r="B167" s="1" t="n"/>
      <c r="C167" s="4" t="inlineStr">
        <is>
          <t>Discharge Process (ปิดยอดครั้งสุดท้าย)</t>
        </is>
      </c>
      <c r="D167" s="5" t="inlineStr">
        <is>
          <t>แพทย์อนุมัติจำหน่ายผู้ป่วย IPD แล้วจนท.การเงินปิด Bill ยอดคงเหลือทั้งหมดและปลดเตียงคืนระบบ</t>
        </is>
      </c>
      <c r="E167" s="5" t="inlineStr">
        <is>
          <t>[8] รายชื่อผู้ป่วยจะถูกย้ายไปที่ tab ผู้ป่วยจำหน่าย + Status ผู้ป่วย = เสร็จสิ้น</t>
        </is>
      </c>
      <c r="F167" s="3" t="n"/>
    </row>
    <row r="168" ht="18.75" customHeight="1" s="49">
      <c r="A168" s="3" t="n"/>
      <c r="B168" s="3" t="n"/>
      <c r="C168" s="3" t="n"/>
      <c r="D168" s="3" t="n"/>
      <c r="E168" s="7" t="n"/>
      <c r="F168" s="3" t="n"/>
    </row>
    <row r="169" ht="20.25" customHeight="1" s="49">
      <c r="A169" s="3" t="n"/>
      <c r="B169" s="1" t="inlineStr">
        <is>
          <t>Scenario 15:</t>
        </is>
      </c>
      <c r="C169" s="3" t="inlineStr">
        <is>
          <t>จนท. จากทุกแผนกเข้าสั่งพิมพ์ report จากเมนู รายงาน</t>
        </is>
      </c>
      <c r="D169" s="3" t="inlineStr">
        <is>
          <t>เจ้าหน้าที่แต่ละแผนกละคน เข้ามาออกรายงานที่เมนูออกรายงาน</t>
        </is>
      </c>
      <c r="E169" s="5" t="inlineStr">
        <is>
          <t>[1] จนท. จากทุกแผนกเข้ามีเลือก report ทุก 30 นาที (แค่ 10 report)</t>
        </is>
      </c>
      <c r="F169" s="3" t="n"/>
    </row>
    <row r="170" ht="20.25" customHeight="1" s="49">
      <c r="A170" s="3" t="n"/>
      <c r="B170" s="3" t="n"/>
      <c r="C170" s="3" t="inlineStr">
        <is>
          <t>จนท. จากทุกแผนกเข้าสั่งพิมพ์ report จากเมนู รายงาน</t>
        </is>
      </c>
      <c r="D170" s="3" t="inlineStr">
        <is>
          <t>เจ้าหน้าที่แต่ละแผนกละคน เข้ามาออกรายงานที่เมนูออกรายงาน</t>
        </is>
      </c>
      <c r="E170" s="5" t="inlineStr">
        <is>
          <t>[2] จนท. จากทุกแผนกเข้ามา พิมพ์ report สรุปยอด ตอนเย็น</t>
        </is>
      </c>
      <c r="F170" s="3" t="n"/>
    </row>
    <row r="171" ht="20.25" customHeight="1" s="49">
      <c r="A171" s="3" t="n"/>
      <c r="B171" s="3" t="n"/>
      <c r="C171" s="3" t="inlineStr">
        <is>
          <t>จนท. จากทุกแผนกเข้าสั่งพิมพ์ report จากเมนู รายงาน</t>
        </is>
      </c>
      <c r="D171" s="3" t="inlineStr">
        <is>
          <t>เจ้าหน้าที่แต่ละแผนกละคน เข้ามาออกรายงานที่เมนูออกรายงาน</t>
        </is>
      </c>
      <c r="E171" s="5" t="inlineStr">
        <is>
          <t>[3] จนท. จากทุกแผนกเข้ามา ดาวน์โหลด report สรุปยอด ตอนเย็น</t>
        </is>
      </c>
      <c r="F171" s="3" t="n"/>
    </row>
    <row r="172" ht="18.75" customHeight="1" s="49">
      <c r="A172" s="3" t="n"/>
      <c r="B172" s="3" t="n"/>
      <c r="C172" s="3" t="n"/>
      <c r="D172" s="3" t="n"/>
      <c r="E172" s="5" t="n"/>
      <c r="F172" s="3" t="n"/>
    </row>
    <row r="173" ht="20.25" customHeight="1" s="49">
      <c r="A173" s="3" t="n"/>
      <c r="B173" s="1" t="inlineStr">
        <is>
          <t>Scenario 16:</t>
        </is>
      </c>
      <c r="C173" s="3" t="inlineStr">
        <is>
          <t>จนท. Coder เข้าเมนู เบิกจ่าย เพื่อลงรหัสโรค</t>
        </is>
      </c>
      <c r="D173" s="3" t="inlineStr">
        <is>
          <t>เจ้าหน้าที่แผนก Coder เข้ามาลงรหัสโรคของผู้ป่วย</t>
        </is>
      </c>
      <c r="E173" s="5" t="inlineStr">
        <is>
          <t>[1] จนท. Coder ไปที่เมนู เบิกจ่าย → OPD → รายการรอรหัสโรค OPD</t>
        </is>
      </c>
      <c r="F173" s="3" t="n"/>
    </row>
    <row r="174" ht="20.25" customHeight="1" s="49">
      <c r="A174" s="3" t="n"/>
      <c r="B174" s="3" t="n"/>
      <c r="C174" s="3" t="inlineStr">
        <is>
          <t>จนท. Coder เข้าเมนู เบิกจ่าย เพื่อลงรหัสโรค</t>
        </is>
      </c>
      <c r="D174" s="3" t="inlineStr">
        <is>
          <t>เจ้าหน้าที่แผนก Coder เข้ามาลงรหัสโรคของผู้ป่วย</t>
        </is>
      </c>
      <c r="E174" s="5" t="inlineStr">
        <is>
          <t>[2] จนท. Coder กดเลือกผู้ป่วย ที่ สถานะ Coding = รอลงรหัส</t>
        </is>
      </c>
      <c r="F174" s="3" t="n"/>
    </row>
    <row r="175" ht="20.25" customHeight="1" s="49">
      <c r="A175" s="3" t="n"/>
      <c r="B175" s="3" t="n"/>
      <c r="C175" s="3" t="inlineStr">
        <is>
          <t>จนท. Coder เข้าเมนู เบิกจ่าย เพื่อลงรหัสโรค</t>
        </is>
      </c>
      <c r="D175" s="3" t="inlineStr">
        <is>
          <t>เจ้าหน้าที่แผนก Coder เข้ามาลงรหัสโรคของผู้ป่วย</t>
        </is>
      </c>
      <c r="E175" s="5" t="inlineStr">
        <is>
          <t>[3] จนท. Coder ไปที่หน้า Patient Profile → รหัสโรค OPD → OPD Coding from</t>
        </is>
      </c>
      <c r="F175" s="3" t="n"/>
    </row>
    <row r="176" ht="20.25" customHeight="1" s="49">
      <c r="A176" s="3" t="n"/>
      <c r="B176" s="3" t="n"/>
      <c r="C176" s="3" t="inlineStr">
        <is>
          <t>จนท. Coder เข้าเมนู เบิกจ่าย เพื่อลงรหัสโรค</t>
        </is>
      </c>
      <c r="D176" s="3" t="inlineStr">
        <is>
          <t>เจ้าหน้าที่แผนก Coder เข้ามาลงรหัสโรคของผู้ป่วย</t>
        </is>
      </c>
      <c r="E176" s="5" t="inlineStr">
        <is>
          <t>[4] จนท. Coder เลือก Diagnosis + เลือก Procedure → กดปุ่ม บันทึก → Status OPD Coding from = ลงรหัสแล้ว</t>
        </is>
      </c>
      <c r="F176" s="3" t="n"/>
    </row>
    <row r="177" ht="20.25" customHeight="1" s="49">
      <c r="A177" s="3" t="n"/>
      <c r="B177" s="3" t="n"/>
      <c r="C177" s="3" t="inlineStr">
        <is>
          <t>จนท. Coder เข้าเมนู เบิกจ่าย เพื่อลงรหัสโรค</t>
        </is>
      </c>
      <c r="D177" s="3" t="inlineStr">
        <is>
          <t>เจ้าหน้าที่แผนก Coder เข้ามาลงรหัสโรคของผู้ป่วย</t>
        </is>
      </c>
      <c r="E177" s="5" t="inlineStr">
        <is>
          <t>[5] จนท. Coder กดที่ปุ่ม &gt; เพื่อลงข้อมูลผู้ป่วยคนถัดไป</t>
        </is>
      </c>
      <c r="F177" s="3" t="n"/>
    </row>
    <row r="178" ht="20.25" customHeight="1" s="49">
      <c r="A178" s="3" t="n"/>
      <c r="B178" s="3" t="n"/>
      <c r="C178" s="3" t="inlineStr">
        <is>
          <t>จนท. Coder เข้าเมนู เบิกจ่าย เพื่อลงรหัสโรค</t>
        </is>
      </c>
      <c r="D178" s="3" t="inlineStr">
        <is>
          <t>เจ้าหน้าที่แผนก Coder เข้ามาลงรหัสโรคของผู้ป่วย</t>
        </is>
      </c>
      <c r="E178" s="5" t="inlineStr">
        <is>
          <t>[6] จนท. Coder ไปที่เมนู เบิกจ่าย → OPD → รายการรอรหัสโรค OPD → tab ลงรหัสแล้ว จะแสดงข้อมูลผู้ป่วยที่ลงรหัสแล้ว</t>
        </is>
      </c>
      <c r="F178" s="3" t="n"/>
    </row>
    <row r="179" ht="18.75" customHeight="1" s="49">
      <c r="A179" s="3" t="n"/>
      <c r="B179" s="3" t="n"/>
      <c r="C179" s="3" t="n"/>
      <c r="D179" s="3" t="n"/>
      <c r="E179" s="5" t="n"/>
      <c r="F179" s="3" t="n"/>
    </row>
    <row r="180" ht="18.75" customHeight="1" s="49">
      <c r="A180" s="3" t="n"/>
      <c r="B180" s="3" t="n"/>
      <c r="C180" s="3" t="n"/>
      <c r="D180" s="3" t="n"/>
      <c r="E180" s="5" t="n"/>
      <c r="F180" s="3" t="n"/>
    </row>
    <row r="181" ht="18.75" customHeight="1" s="49">
      <c r="A181" s="3" t="n"/>
      <c r="B181" s="3" t="n"/>
      <c r="C181" s="3" t="n"/>
      <c r="D181" s="3" t="n"/>
      <c r="E181" s="5" t="n"/>
      <c r="F181" s="3" t="n"/>
    </row>
    <row r="182" ht="18.75" customHeight="1" s="49">
      <c r="A182" s="3" t="n"/>
      <c r="B182" s="3" t="n"/>
      <c r="C182" s="3" t="n"/>
      <c r="D182" s="3" t="n"/>
      <c r="E182" s="5" t="n"/>
      <c r="F182" s="3" t="n"/>
    </row>
    <row r="183" ht="18.75" customHeight="1" s="49">
      <c r="A183" s="3" t="n"/>
      <c r="B183" s="3" t="n"/>
      <c r="C183" s="3" t="n"/>
      <c r="D183" s="3" t="n"/>
      <c r="E183" s="5" t="n"/>
      <c r="F183" s="3" t="n"/>
    </row>
    <row r="184" ht="18.75" customHeight="1" s="49">
      <c r="A184" s="3" t="n"/>
      <c r="B184" s="3" t="n"/>
      <c r="C184" s="3" t="n"/>
      <c r="D184" s="3" t="n"/>
      <c r="E184" s="5" t="n"/>
      <c r="F184" s="3" t="n"/>
    </row>
    <row r="185" ht="18.75" customHeight="1" s="49">
      <c r="A185" s="3" t="n"/>
      <c r="B185" s="3" t="n"/>
      <c r="C185" s="3" t="n"/>
      <c r="D185" s="3" t="n"/>
      <c r="E185" s="5" t="n"/>
      <c r="F185" s="3" t="n"/>
    </row>
    <row r="186" ht="18.75" customHeight="1" s="49">
      <c r="A186" s="3" t="n"/>
      <c r="B186" s="3" t="n"/>
      <c r="C186" s="3" t="n"/>
      <c r="D186" s="3" t="n"/>
      <c r="E186" s="5" t="n"/>
      <c r="F186" s="3" t="n"/>
    </row>
    <row r="187" ht="18.75" customHeight="1" s="49">
      <c r="A187" s="3" t="n"/>
      <c r="B187" s="3" t="n"/>
      <c r="C187" s="3" t="n"/>
      <c r="D187" s="3" t="n"/>
      <c r="E187" s="5" t="n"/>
      <c r="F187" s="3" t="n"/>
    </row>
    <row r="188" ht="18.75" customHeight="1" s="49">
      <c r="A188" s="3" t="n"/>
      <c r="B188" s="3" t="n"/>
      <c r="C188" s="3" t="n"/>
      <c r="D188" s="3" t="n"/>
      <c r="E188" s="5" t="n"/>
      <c r="F188" s="3" t="n"/>
    </row>
    <row r="189" ht="18.75" customHeight="1" s="49">
      <c r="A189" s="3" t="n"/>
      <c r="B189" s="3" t="n"/>
      <c r="C189" s="3" t="n"/>
      <c r="D189" s="3" t="n"/>
      <c r="E189" s="7" t="n"/>
      <c r="F189" s="3" t="n"/>
    </row>
    <row r="190" ht="18.75" customHeight="1" s="49">
      <c r="A190" s="3" t="n"/>
      <c r="B190" s="3" t="n"/>
      <c r="C190" s="3" t="n"/>
      <c r="D190" s="3" t="n"/>
      <c r="E190" s="7" t="n"/>
      <c r="F190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I4" sqref="I4"/>
    </sheetView>
  </sheetViews>
  <sheetFormatPr baseColWidth="10" defaultColWidth="8.83203125" defaultRowHeight="15"/>
  <cols>
    <col width="28.5" customWidth="1" style="49" min="1" max="1"/>
    <col width="7.33203125" customWidth="1" style="49" min="2" max="2"/>
    <col width="57.1640625" customWidth="1" style="49" min="3" max="3"/>
    <col width="47.5" customWidth="1" style="49" min="4" max="4"/>
    <col width="43.83203125" customWidth="1" style="49" min="5" max="5"/>
    <col width="14.33203125" customWidth="1" style="49" min="6" max="6"/>
    <col width="18.1640625" customWidth="1" style="49" min="7" max="8"/>
    <col width="17.1640625" customWidth="1" style="49" min="9" max="9"/>
    <col width="21.5" customWidth="1" style="49" min="10" max="10"/>
  </cols>
  <sheetData>
    <row r="1" ht="18.75" customHeight="1" s="49">
      <c r="A1" s="8" t="inlineStr">
        <is>
          <t>Process Improvement Plan</t>
        </is>
      </c>
    </row>
    <row r="3">
      <c r="A3" s="9" t="inlineStr">
        <is>
          <t>หมวด</t>
        </is>
      </c>
      <c r="B3" s="9" t="inlineStr">
        <is>
          <t>ข้อ</t>
        </is>
      </c>
      <c r="C3" s="9" t="inlineStr">
        <is>
          <t>หัวข้อ / รายละเอียด</t>
        </is>
      </c>
      <c r="D3" s="9" t="inlineStr">
        <is>
          <t>กระทบการทำงานกับใคร</t>
        </is>
      </c>
      <c r="E3" s="9" t="inlineStr">
        <is>
          <t>ผู้ร่วมปรับปรุง</t>
        </is>
      </c>
      <c r="F3" s="9" t="inlineStr">
        <is>
          <t>Priority</t>
        </is>
      </c>
      <c r="G3" s="9" t="inlineStr">
        <is>
          <t>Status</t>
        </is>
      </c>
      <c r="H3" s="9" t="inlineStr">
        <is>
          <t>Target</t>
        </is>
      </c>
      <c r="I3" s="9" t="inlineStr">
        <is>
          <t>Target date</t>
        </is>
      </c>
    </row>
    <row r="4" ht="50.25" customHeight="1" s="49">
      <c r="A4" s="10" t="inlineStr">
        <is>
          <t>1. Development</t>
        </is>
      </c>
      <c r="B4" s="11" t="n">
        <v>1.1</v>
      </c>
      <c r="C4" s="12" t="inlineStr">
        <is>
          <t>วางเป้างาน develop ให้เสร็จภายในวันพุธหรือพฤหัส เพื่อให้มีเวลาทดสอบเพียงพอ หากมีแนวโน้มไม่ทัน ให้พิจารณาปรับ scope ร่วมกันล่วงหน้า</t>
        </is>
      </c>
      <c r="D4" s="12" t="inlineStr">
        <is>
          <t>กระทบ QA เพราะเวลาทดสอบจะหดหายไปตามงานที่ส่งช้า และกระทบ PO กับ BA ที่ต้องตัดสินใจเรื่อง cut scope โดยมีเวลาพิจารณาจำกัด</t>
        </is>
      </c>
      <c r="E4" s="12" t="inlineStr">
        <is>
          <t>• Dev ช่วยดูแลให้งานเสร็จตามเป้า
• Lead Team กับ BA ร่วมพิจารณาการปรับ scope เมื่อเห็นแนวโน้ม</t>
        </is>
      </c>
      <c r="F4" s="11" t="inlineStr">
        <is>
          <t>High</t>
        </is>
      </c>
      <c r="G4" s="11" t="inlineStr">
        <is>
          <t>Not started</t>
        </is>
      </c>
      <c r="H4" s="16" t="inlineStr">
        <is>
          <t>D4</t>
        </is>
      </c>
      <c r="I4" s="16" t="n"/>
    </row>
    <row r="5" ht="33" customHeight="1" s="49">
      <c r="A5" s="13" t="inlineStr">
        <is>
          <t>2. Requirement &amp; Grooming</t>
        </is>
      </c>
      <c r="B5" s="14" t="n">
        <v>2.1</v>
      </c>
      <c r="C5" s="15" t="inlineStr">
        <is>
          <t>ดูแลให้ Requirement และ AC เป็นปัจจุบันก่อน QA เริ่มเตรียมเทสเคส เพื่อให้ทุกฝ่ายเข้าใจขอบเขตงานตรงกัน</t>
        </is>
      </c>
      <c r="D5" s="15" t="inlineStr">
        <is>
          <t>กระทบ QA ที่อาจเตรียมเทสเคสจากข้อมูลที่ไม่เป็นปัจจุบัน และกระทบ Dev ที่อาจพัฒนาคนละทิศทางกับสิ่งที่ตกลงกันไว้</t>
        </is>
      </c>
      <c r="E5" s="15" t="inlineStr">
        <is>
          <t>• BA ช่วยอัปเดต Requirement และ AC ให้เรียบร้อยก่อนงานเข้า sprint</t>
        </is>
      </c>
      <c r="F5" s="14" t="inlineStr">
        <is>
          <t>High</t>
        </is>
      </c>
      <c r="G5" s="14" t="inlineStr">
        <is>
          <t>Not started</t>
        </is>
      </c>
      <c r="H5" s="17" t="inlineStr">
        <is>
          <t>D4</t>
        </is>
      </c>
      <c r="I5" s="17" t="n"/>
    </row>
    <row r="6" ht="50.25" customHeight="1" s="49">
      <c r="A6" s="13" t="inlineStr">
        <is>
          <t>2. Requirement &amp; Grooming</t>
        </is>
      </c>
      <c r="B6" s="14" t="n">
        <v>2.2</v>
      </c>
      <c r="C6" s="15" t="inlineStr">
        <is>
          <t>เชิญ QA ร่วม grooming และร่วมประเมิน point เพื่อให้แผนงานสะท้อนกำลังของทีมครบทุกฝ่าย</t>
        </is>
      </c>
      <c r="D6" s="15" t="inlineStr">
        <is>
          <t>กระทบการประเมินกำลังงานของทั้งทีม เนื่องจาก point ที่ไม่รวมงานฝั่ง QA ทำให้แผนการ sprint คลาดเคลื่อนจากความเป็นจริง</t>
        </is>
      </c>
      <c r="E6" s="15" t="inlineStr">
        <is>
          <t>• Lead Team ช่วยเชิญ QA เข้าวง grooming
• QA ร่วมให้ point งานฝั่งทดสอบ</t>
        </is>
      </c>
      <c r="F6" s="14" t="inlineStr">
        <is>
          <t>Medium</t>
        </is>
      </c>
      <c r="G6" s="14" t="inlineStr">
        <is>
          <t>Not started</t>
        </is>
      </c>
      <c r="H6" s="17" t="inlineStr">
        <is>
          <t>D4</t>
        </is>
      </c>
      <c r="I6" s="17" t="n"/>
    </row>
    <row r="7" ht="33" customHeight="1" s="49">
      <c r="A7" s="10" t="inlineStr">
        <is>
          <t>3. QA Process</t>
        </is>
      </c>
      <c r="B7" s="11" t="n">
        <v>3.1</v>
      </c>
      <c r="C7" s="12" t="inlineStr">
        <is>
          <t>run OPD to IPD หนึ่งรอบช่วงท้ายของทุก Cycle เพื่อตรวจว่า flow หลักยังใช้งานได้ตามเดิม</t>
        </is>
      </c>
      <c r="D7" s="12" t="inlineStr">
        <is>
          <t>กระทบ QA ที่มีงาน run เพิ่มทุกท้าย Cycle และกระทบ Dev ที่อาจต้องกลับมาแก้งานช่วงท้ายรอบ</t>
        </is>
      </c>
      <c r="E7" s="12" t="inlineStr">
        <is>
          <t>• QA ช่วย run E2E ช่วงท้ายของทุก Cycle
• QA แจ้งผลให้ทีมทราบ</t>
        </is>
      </c>
      <c r="F7" s="11" t="inlineStr">
        <is>
          <t>High</t>
        </is>
      </c>
      <c r="G7" s="11" t="inlineStr">
        <is>
          <t>Not started</t>
        </is>
      </c>
      <c r="H7" s="16" t="inlineStr">
        <is>
          <t>D4</t>
        </is>
      </c>
      <c r="I7" s="16" t="n"/>
    </row>
    <row r="8" ht="50.25" customHeight="1" s="49">
      <c r="A8" s="10" t="inlineStr">
        <is>
          <t>3. QA Process</t>
        </is>
      </c>
      <c r="B8" s="11" t="n">
        <v>3.2</v>
      </c>
      <c r="C8" s="12" t="inlineStr">
        <is>
          <t>run OPD to IPD ก่อนส่งงาน UAT หรือ Training ทุกครั้ง เพื่อให้มั่นใจว่างานพร้อมส่งถึงมือผู้ใช้งาน</t>
        </is>
      </c>
      <c r="D8" s="12" t="inlineStr">
        <is>
          <t>กระทบผู้ใช้งานและลูกค้าที่อาจพบปัญหาหน้างาน และกระทบ PO ที่ต้องดูแลความเชื่อมั่นของทีม</t>
        </is>
      </c>
      <c r="E8" s="12" t="inlineStr">
        <is>
          <t>• QA ช่วย run ก่อนส่งงานทุกครั้ง
• Lead Team ร่วมยืนยันกำหนด release เมื่อผลทดสอบเรียบร้อย</t>
        </is>
      </c>
      <c r="F8" s="11" t="inlineStr">
        <is>
          <t>High</t>
        </is>
      </c>
      <c r="G8" s="11" t="inlineStr">
        <is>
          <t>Not started</t>
        </is>
      </c>
      <c r="H8" s="16" t="inlineStr">
        <is>
          <t>D4</t>
        </is>
      </c>
      <c r="I8" s="16" t="n"/>
    </row>
    <row r="9" ht="33" customHeight="1" s="49">
      <c r="A9" s="10" t="inlineStr">
        <is>
          <t>3. QA Process</t>
        </is>
      </c>
      <c r="B9" s="11" t="n">
        <v>3.3</v>
      </c>
      <c r="C9" s="12" t="inlineStr">
        <is>
          <t>เก็บสถิติจำนวน bug ที่พบหลังส่งงานในแต่ละรอบ UAT และ Training เพื่อใช้ดูแนวโน้มคุณภาพและหาจุดที่ควรปรับปรุง</t>
        </is>
      </c>
      <c r="D9" s="12" t="inlineStr">
        <is>
          <t>เป็นข้อมูลกลางที่ทั้งทีมใช้อ้างอิงเพื่อดูแนวโน้มคุณภาพ และช่วยให้ผู้บริหารเห็นความคืบหน้าของการปรับปรุง</t>
        </is>
      </c>
      <c r="E9" s="12" t="inlineStr">
        <is>
          <t>• QA Lead ช่วยรวบรวมสถิติและสรุปให้ทีมเห็นภาพรวมทุกรอบ</t>
        </is>
      </c>
      <c r="F9" s="11" t="inlineStr">
        <is>
          <t>Medium</t>
        </is>
      </c>
      <c r="G9" s="11" t="inlineStr">
        <is>
          <t>Not started</t>
        </is>
      </c>
      <c r="H9" s="16" t="inlineStr">
        <is>
          <t>D4</t>
        </is>
      </c>
      <c r="I9" s="16" t="n"/>
    </row>
    <row r="10" ht="33" customHeight="1" s="49">
      <c r="A10" s="13" t="inlineStr">
        <is>
          <t>4. Team &amp; Ownership</t>
        </is>
      </c>
      <c r="B10" s="14" t="n">
        <v>4.1</v>
      </c>
      <c r="C10" s="15" t="inlineStr">
        <is>
          <t>ระบุชื่อผู้รับผิดชอบฝั่ง BA / Dev / QA ไว้ในการ์ด เพื่อให้ติดตามและประสานงานกันได้สะดวก</t>
        </is>
      </c>
      <c r="D10" s="15" t="inlineStr">
        <is>
          <t>กระทบทั้งทีมเมื่อติดตามงาน เพราะไม่ทราบว่าควรสอบถามหรือประสานงานกับใคร</t>
        </is>
      </c>
      <c r="E10" s="15" t="inlineStr">
        <is>
          <t>• ทุกคนช่วยระบุชื่อตนเองในการ์ด
• Scrum Master ช่วยทบทวนก่อนปิด sprint</t>
        </is>
      </c>
      <c r="F10" s="14" t="inlineStr">
        <is>
          <t>Medium</t>
        </is>
      </c>
      <c r="G10" s="14" t="inlineStr">
        <is>
          <t>Not started</t>
        </is>
      </c>
      <c r="H10" s="17" t="inlineStr">
        <is>
          <t>D4</t>
        </is>
      </c>
      <c r="I10" s="17" t="n"/>
    </row>
  </sheetData>
  <conditionalFormatting sqref="F4:F10">
    <cfRule type="containsText" priority="4" operator="containsText" dxfId="0" text="High">
      <formula>NOT(ISERROR(SEARCH("High",F4)))</formula>
    </cfRule>
    <cfRule type="containsText" priority="5" operator="containsText" dxfId="1" text="Medium">
      <formula>NOT(ISERROR(SEARCH("Medium",F4)))</formula>
    </cfRule>
    <cfRule type="containsText" priority="6" operator="containsText" dxfId="3" text="Low">
      <formula>NOT(ISERROR(SEARCH("Low",F4)))</formula>
    </cfRule>
  </conditionalFormatting>
  <conditionalFormatting sqref="G4:G10">
    <cfRule type="containsText" priority="1" operator="containsText" dxfId="2" text="Done">
      <formula>NOT(ISERROR(SEARCH("Done",G4)))</formula>
    </cfRule>
    <cfRule type="containsText" priority="2" operator="containsText" dxfId="1" text="In progress">
      <formula>NOT(ISERROR(SEARCH("In progress",G4)))</formula>
    </cfRule>
    <cfRule type="containsText" priority="3" operator="containsText" dxfId="0" text="Blocked">
      <formula>NOT(ISERROR(SEARCH("Blocked",G4)))</formula>
    </cfRule>
  </conditionalFormatting>
  <dataValidations count="2">
    <dataValidation sqref="F4:F10" showDropDown="0" showInputMessage="1" showErrorMessage="1" allowBlank="1" type="list">
      <formula1>"High,Medium,Low"</formula1>
    </dataValidation>
    <dataValidation sqref="G4:G10" showDropDown="0" showInputMessage="1" showErrorMessage="1" allowBlank="1" type="list">
      <formula1>"Not started,In progress,Done,Blocked"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pane ySplit="4" topLeftCell="A5" activePane="bottomLeft" state="frozen"/>
      <selection pane="bottomLeft" activeCell="F18" sqref="F18"/>
    </sheetView>
  </sheetViews>
  <sheetFormatPr baseColWidth="10" defaultColWidth="8.83203125" defaultRowHeight="15"/>
  <cols>
    <col width="13.33203125" customWidth="1" style="49" min="1" max="1"/>
    <col width="18.1640625" customWidth="1" style="49" min="2" max="2"/>
    <col width="21" customWidth="1" style="49" min="3" max="3"/>
    <col width="16.1640625" customWidth="1" style="49" min="4" max="4"/>
    <col width="24.6640625" customWidth="1" style="49" min="5" max="5"/>
    <col width="43.83203125" customWidth="1" style="49" min="6" max="6"/>
    <col width="16.1640625" customWidth="1" style="49" min="7" max="7"/>
    <col width="28.5" customWidth="1" style="49" min="8" max="8"/>
    <col width="17.1640625" customWidth="1" style="49" min="9" max="10"/>
    <col width="18.1640625" customWidth="1" style="49" min="11" max="11"/>
    <col width="58.5" customWidth="1" style="49" min="12" max="12"/>
  </cols>
  <sheetData>
    <row r="1" ht="18.75" customHeight="1" s="49">
      <c r="A1" s="8" t="inlineStr">
        <is>
          <t>Bug Log – บันทึก bug ที่พบหลังส่งงาน</t>
        </is>
      </c>
    </row>
    <row r="2">
      <c r="A2" s="18" t="inlineStr">
        <is>
          <t>กรอกหนึ่งแถวต่อหนึ่ง bug ที่พบ หน้า Bug Dashboard จะสรุปให้อัตโนมัติ</t>
        </is>
      </c>
    </row>
    <row r="4" ht="33" customHeight="1" s="49">
      <c r="A4" s="22" t="inlineStr">
        <is>
          <t>Bug ID</t>
        </is>
      </c>
      <c r="B4" s="22" t="inlineStr">
        <is>
          <t>รอบที่ส่ง</t>
        </is>
      </c>
      <c r="C4" s="22" t="inlineStr">
        <is>
          <t>ประเภทการส่ง</t>
        </is>
      </c>
      <c r="D4" s="22" t="inlineStr">
        <is>
          <t>วันที่พบ</t>
        </is>
      </c>
      <c r="E4" s="22" t="inlineStr">
        <is>
          <t>Module / ฟังก์ชัน</t>
        </is>
      </c>
      <c r="F4" s="22" t="inlineStr">
        <is>
          <t>หัวข้ออาการ</t>
        </is>
      </c>
      <c r="G4" s="22" t="inlineStr">
        <is>
          <t>Severity</t>
        </is>
      </c>
      <c r="H4" s="22" t="inlineStr">
        <is>
          <t>สาเหตุที่หลุด</t>
        </is>
      </c>
      <c r="I4" s="22" t="inlineStr">
        <is>
          <t>ผู้พบ</t>
        </is>
      </c>
      <c r="J4" s="22" t="inlineStr">
        <is>
          <t>ผู้แก้ไข</t>
        </is>
      </c>
      <c r="K4" s="22" t="inlineStr">
        <is>
          <t>สถานะ</t>
        </is>
      </c>
      <c r="L4" s="22" t="inlineStr">
        <is>
          <t>หมายเหตุ</t>
        </is>
      </c>
    </row>
    <row r="5" ht="16.5" customHeight="1" s="49">
      <c r="A5" s="11" t="inlineStr">
        <is>
          <t>BUG-001</t>
        </is>
      </c>
      <c r="B5" s="11" t="inlineStr">
        <is>
          <t>D4-1</t>
        </is>
      </c>
      <c r="C5" s="11" t="inlineStr">
        <is>
          <t>UAT</t>
        </is>
      </c>
      <c r="D5" s="16" t="n">
        <v>46255</v>
      </c>
      <c r="E5" s="12" t="inlineStr">
        <is>
          <t>OPD – ลงทะเบียน</t>
        </is>
      </c>
      <c r="F5" s="12" t="inlineStr">
        <is>
          <t>กดบันทึกซ้ำแล้วเกิดข้อมูลผู้ป่วยซ้ำ 2 รายการ</t>
        </is>
      </c>
      <c r="G5" s="11" t="inlineStr">
        <is>
          <t>High</t>
        </is>
      </c>
      <c r="H5" s="12" t="inlineStr">
        <is>
          <t>Requirement / AC ไม่ครอบคลุม</t>
        </is>
      </c>
      <c r="I5" s="12" t="inlineStr">
        <is>
          <t>ผู้ใช้งาน</t>
        </is>
      </c>
      <c r="J5" s="12" t="inlineStr">
        <is>
          <t>Dev A</t>
        </is>
      </c>
      <c r="K5" s="11" t="inlineStr">
        <is>
          <t>Fixed</t>
        </is>
      </c>
      <c r="L5" s="12" t="inlineStr">
        <is>
          <t>เดิมระบุ: Requirement ไม่ครอบคลุมเคส double-click</t>
        </is>
      </c>
    </row>
    <row r="6" ht="16.5" customHeight="1" s="49">
      <c r="A6" s="11" t="inlineStr">
        <is>
          <t>BUG-002</t>
        </is>
      </c>
      <c r="B6" s="11" t="inlineStr">
        <is>
          <t>D4-1</t>
        </is>
      </c>
      <c r="C6" s="11" t="inlineStr">
        <is>
          <t>Training</t>
        </is>
      </c>
      <c r="D6" s="16" t="n">
        <v>46255</v>
      </c>
      <c r="E6" s="12" t="inlineStr">
        <is>
          <t>IPD – Admit</t>
        </is>
      </c>
      <c r="F6" s="12" t="inlineStr">
        <is>
          <t>หน้าจอ Admit ไม่แสดงเตียงว่างบางหอผู้ป่วย</t>
        </is>
      </c>
      <c r="G6" s="11" t="inlineStr">
        <is>
          <t>Medium</t>
        </is>
      </c>
      <c r="H6" s="12" t="inlineStr">
        <is>
          <t>ข้อมูลทดสอบไม่ครบ</t>
        </is>
      </c>
      <c r="I6" s="12" t="inlineStr">
        <is>
          <t>QA</t>
        </is>
      </c>
      <c r="J6" s="12" t="inlineStr">
        <is>
          <t>Dev B</t>
        </is>
      </c>
      <c r="K6" s="11" t="inlineStr">
        <is>
          <t>In progress</t>
        </is>
      </c>
      <c r="L6" s="12" t="n"/>
    </row>
    <row r="7">
      <c r="A7" s="20" t="n"/>
      <c r="B7" s="20" t="n"/>
      <c r="C7" s="20" t="n"/>
      <c r="D7" s="21" t="n"/>
      <c r="E7" s="19" t="n"/>
      <c r="F7" s="19" t="n"/>
      <c r="G7" s="20" t="n"/>
      <c r="H7" s="19" t="n"/>
      <c r="I7" s="19" t="n"/>
      <c r="J7" s="19" t="n"/>
      <c r="K7" s="20" t="n"/>
      <c r="L7" s="19" t="n"/>
    </row>
    <row r="8">
      <c r="A8" s="20" t="n"/>
      <c r="B8" s="20" t="n"/>
      <c r="C8" s="20" t="n"/>
      <c r="D8" s="21" t="n"/>
      <c r="E8" s="19" t="n"/>
      <c r="F8" s="19" t="n"/>
      <c r="G8" s="20" t="n"/>
      <c r="H8" s="19" t="n"/>
      <c r="I8" s="19" t="n"/>
      <c r="J8" s="19" t="n"/>
      <c r="K8" s="20" t="n"/>
      <c r="L8" s="19" t="n"/>
    </row>
    <row r="9">
      <c r="A9" s="20" t="n"/>
      <c r="B9" s="20" t="n"/>
      <c r="C9" s="20" t="n"/>
      <c r="D9" s="21" t="n"/>
      <c r="E9" s="19" t="n"/>
      <c r="F9" s="19" t="n"/>
      <c r="G9" s="20" t="n"/>
      <c r="H9" s="19" t="n"/>
      <c r="I9" s="19" t="n"/>
      <c r="J9" s="19" t="n"/>
      <c r="K9" s="20" t="n"/>
      <c r="L9" s="19" t="n"/>
    </row>
    <row r="10">
      <c r="A10" s="20" t="n"/>
      <c r="B10" s="20" t="n"/>
      <c r="C10" s="20" t="n"/>
      <c r="D10" s="21" t="n"/>
      <c r="E10" s="19" t="n"/>
      <c r="F10" s="19" t="n"/>
      <c r="G10" s="20" t="n"/>
      <c r="H10" s="19" t="n"/>
      <c r="I10" s="19" t="n"/>
      <c r="J10" s="19" t="n"/>
      <c r="K10" s="20" t="n"/>
      <c r="L10" s="19" t="n"/>
    </row>
    <row r="11">
      <c r="A11" s="20" t="n"/>
      <c r="B11" s="20" t="n"/>
      <c r="C11" s="20" t="n"/>
      <c r="D11" s="21" t="n"/>
      <c r="E11" s="19" t="n"/>
      <c r="F11" s="19" t="n"/>
      <c r="G11" s="20" t="n"/>
      <c r="H11" s="19" t="n"/>
      <c r="I11" s="19" t="n"/>
      <c r="J11" s="19" t="n"/>
      <c r="K11" s="20" t="n"/>
      <c r="L11" s="19" t="n"/>
    </row>
    <row r="12">
      <c r="A12" s="20" t="n"/>
      <c r="B12" s="20" t="n"/>
      <c r="C12" s="20" t="n"/>
      <c r="D12" s="21" t="n"/>
      <c r="E12" s="19" t="n"/>
      <c r="F12" s="19" t="n"/>
      <c r="G12" s="20" t="n"/>
      <c r="H12" s="19" t="n"/>
      <c r="I12" s="19" t="n"/>
      <c r="J12" s="19" t="n"/>
      <c r="K12" s="20" t="n"/>
      <c r="L12" s="19" t="n"/>
    </row>
    <row r="13">
      <c r="A13" s="20" t="n"/>
      <c r="B13" s="20" t="n"/>
      <c r="C13" s="20" t="n"/>
      <c r="D13" s="21" t="n"/>
      <c r="E13" s="19" t="n"/>
      <c r="F13" s="19" t="n"/>
      <c r="G13" s="20" t="n"/>
      <c r="H13" s="19" t="n"/>
      <c r="I13" s="19" t="n"/>
      <c r="J13" s="19" t="n"/>
      <c r="K13" s="20" t="n"/>
      <c r="L13" s="19" t="n"/>
    </row>
    <row r="14">
      <c r="A14" s="20" t="n"/>
      <c r="B14" s="20" t="n"/>
      <c r="C14" s="20" t="n"/>
      <c r="D14" s="21" t="n"/>
      <c r="E14" s="19" t="n"/>
      <c r="F14" s="19" t="n"/>
      <c r="G14" s="20" t="n"/>
      <c r="H14" s="19" t="n"/>
      <c r="I14" s="19" t="n"/>
      <c r="J14" s="19" t="n"/>
      <c r="K14" s="20" t="n"/>
      <c r="L14" s="19" t="n"/>
    </row>
    <row r="15">
      <c r="A15" s="20" t="n"/>
      <c r="B15" s="20" t="n"/>
      <c r="C15" s="20" t="n"/>
      <c r="D15" s="21" t="n"/>
      <c r="E15" s="19" t="n"/>
      <c r="F15" s="19" t="n"/>
      <c r="G15" s="20" t="n"/>
      <c r="H15" s="19" t="n"/>
      <c r="I15" s="19" t="n"/>
      <c r="J15" s="19" t="n"/>
      <c r="K15" s="20" t="n"/>
      <c r="L15" s="19" t="n"/>
    </row>
    <row r="16">
      <c r="A16" s="20" t="n"/>
      <c r="B16" s="20" t="n"/>
      <c r="C16" s="20" t="n"/>
      <c r="D16" s="21" t="n"/>
      <c r="E16" s="19" t="n"/>
      <c r="F16" s="19" t="n"/>
      <c r="G16" s="20" t="n"/>
      <c r="H16" s="19" t="n"/>
      <c r="I16" s="19" t="n"/>
      <c r="J16" s="19" t="n"/>
      <c r="K16" s="20" t="n"/>
      <c r="L16" s="19" t="n"/>
    </row>
    <row r="17">
      <c r="A17" s="20" t="n"/>
      <c r="B17" s="20" t="n"/>
      <c r="C17" s="20" t="n"/>
      <c r="D17" s="21" t="n"/>
      <c r="E17" s="19" t="n"/>
      <c r="F17" s="19" t="n"/>
      <c r="G17" s="20" t="n"/>
      <c r="H17" s="19" t="n"/>
      <c r="I17" s="19" t="n"/>
      <c r="J17" s="19" t="n"/>
      <c r="K17" s="20" t="n"/>
      <c r="L17" s="19" t="n"/>
    </row>
    <row r="18">
      <c r="A18" s="20" t="n"/>
      <c r="B18" s="20" t="n"/>
      <c r="C18" s="20" t="n"/>
      <c r="D18" s="21" t="n"/>
      <c r="E18" s="19" t="n"/>
      <c r="F18" s="19" t="n"/>
      <c r="G18" s="20" t="n"/>
      <c r="H18" s="19" t="n"/>
      <c r="I18" s="19" t="n"/>
      <c r="J18" s="19" t="n"/>
      <c r="K18" s="20" t="n"/>
      <c r="L18" s="19" t="n"/>
    </row>
    <row r="19">
      <c r="A19" s="20" t="n"/>
      <c r="B19" s="20" t="n"/>
      <c r="C19" s="20" t="n"/>
      <c r="D19" s="21" t="n"/>
      <c r="E19" s="19" t="n"/>
      <c r="F19" s="19" t="n"/>
      <c r="G19" s="20" t="n"/>
      <c r="H19" s="19" t="n"/>
      <c r="I19" s="19" t="n"/>
      <c r="J19" s="19" t="n"/>
      <c r="K19" s="20" t="n"/>
      <c r="L19" s="19" t="n"/>
    </row>
    <row r="20">
      <c r="A20" s="20" t="n"/>
      <c r="B20" s="20" t="n"/>
      <c r="C20" s="20" t="n"/>
      <c r="D20" s="21" t="n"/>
      <c r="E20" s="19" t="n"/>
      <c r="F20" s="19" t="n"/>
      <c r="G20" s="20" t="n"/>
      <c r="H20" s="19" t="n"/>
      <c r="I20" s="19" t="n"/>
      <c r="J20" s="19" t="n"/>
      <c r="K20" s="20" t="n"/>
      <c r="L20" s="19" t="n"/>
    </row>
    <row r="21">
      <c r="A21" s="20" t="n"/>
      <c r="B21" s="20" t="n"/>
      <c r="C21" s="20" t="n"/>
      <c r="D21" s="21" t="n"/>
      <c r="E21" s="19" t="n"/>
      <c r="F21" s="19" t="n"/>
      <c r="G21" s="20" t="n"/>
      <c r="H21" s="19" t="n"/>
      <c r="I21" s="19" t="n"/>
      <c r="J21" s="19" t="n"/>
      <c r="K21" s="20" t="n"/>
      <c r="L21" s="19" t="n"/>
    </row>
    <row r="22">
      <c r="A22" s="20" t="n"/>
      <c r="B22" s="20" t="n"/>
      <c r="C22" s="20" t="n"/>
      <c r="D22" s="21" t="n"/>
      <c r="E22" s="19" t="n"/>
      <c r="F22" s="19" t="n"/>
      <c r="G22" s="20" t="n"/>
      <c r="H22" s="19" t="n"/>
      <c r="I22" s="19" t="n"/>
      <c r="J22" s="19" t="n"/>
      <c r="K22" s="20" t="n"/>
      <c r="L22" s="19" t="n"/>
    </row>
    <row r="23">
      <c r="A23" s="20" t="n"/>
      <c r="B23" s="20" t="n"/>
      <c r="C23" s="20" t="n"/>
      <c r="D23" s="21" t="n"/>
      <c r="E23" s="19" t="n"/>
      <c r="F23" s="19" t="n"/>
      <c r="G23" s="20" t="n"/>
      <c r="H23" s="19" t="n"/>
      <c r="I23" s="19" t="n"/>
      <c r="J23" s="19" t="n"/>
      <c r="K23" s="20" t="n"/>
      <c r="L23" s="19" t="n"/>
    </row>
    <row r="24">
      <c r="A24" s="20" t="n"/>
      <c r="B24" s="20" t="n"/>
      <c r="C24" s="20" t="n"/>
      <c r="D24" s="21" t="n"/>
      <c r="E24" s="19" t="n"/>
      <c r="F24" s="19" t="n"/>
      <c r="G24" s="20" t="n"/>
      <c r="H24" s="19" t="n"/>
      <c r="I24" s="19" t="n"/>
      <c r="J24" s="19" t="n"/>
      <c r="K24" s="20" t="n"/>
      <c r="L24" s="19" t="n"/>
    </row>
    <row r="25">
      <c r="A25" s="20" t="n"/>
      <c r="B25" s="20" t="n"/>
      <c r="C25" s="20" t="n"/>
      <c r="D25" s="21" t="n"/>
      <c r="E25" s="19" t="n"/>
      <c r="F25" s="19" t="n"/>
      <c r="G25" s="20" t="n"/>
      <c r="H25" s="19" t="n"/>
      <c r="I25" s="19" t="n"/>
      <c r="J25" s="19" t="n"/>
      <c r="K25" s="20" t="n"/>
      <c r="L25" s="19" t="n"/>
    </row>
    <row r="26">
      <c r="A26" s="20" t="n"/>
      <c r="B26" s="20" t="n"/>
      <c r="C26" s="20" t="n"/>
      <c r="D26" s="21" t="n"/>
      <c r="E26" s="19" t="n"/>
      <c r="F26" s="19" t="n"/>
      <c r="G26" s="20" t="n"/>
      <c r="H26" s="19" t="n"/>
      <c r="I26" s="19" t="n"/>
      <c r="J26" s="19" t="n"/>
      <c r="K26" s="20" t="n"/>
      <c r="L26" s="19" t="n"/>
    </row>
    <row r="27">
      <c r="A27" s="20" t="n"/>
      <c r="B27" s="20" t="n"/>
      <c r="C27" s="20" t="n"/>
      <c r="D27" s="21" t="n"/>
      <c r="E27" s="19" t="n"/>
      <c r="F27" s="19" t="n"/>
      <c r="G27" s="20" t="n"/>
      <c r="H27" s="19" t="n"/>
      <c r="I27" s="19" t="n"/>
      <c r="J27" s="19" t="n"/>
      <c r="K27" s="20" t="n"/>
      <c r="L27" s="19" t="n"/>
    </row>
    <row r="28">
      <c r="A28" s="20" t="n"/>
      <c r="B28" s="20" t="n"/>
      <c r="C28" s="20" t="n"/>
      <c r="D28" s="21" t="n"/>
      <c r="E28" s="19" t="n"/>
      <c r="F28" s="19" t="n"/>
      <c r="G28" s="20" t="n"/>
      <c r="H28" s="19" t="n"/>
      <c r="I28" s="19" t="n"/>
      <c r="J28" s="19" t="n"/>
      <c r="K28" s="20" t="n"/>
      <c r="L28" s="19" t="n"/>
    </row>
    <row r="29">
      <c r="A29" s="20" t="n"/>
      <c r="B29" s="20" t="n"/>
      <c r="C29" s="20" t="n"/>
      <c r="D29" s="21" t="n"/>
      <c r="E29" s="19" t="n"/>
      <c r="F29" s="19" t="n"/>
      <c r="G29" s="20" t="n"/>
      <c r="H29" s="19" t="n"/>
      <c r="I29" s="19" t="n"/>
      <c r="J29" s="19" t="n"/>
      <c r="K29" s="20" t="n"/>
      <c r="L29" s="19" t="n"/>
    </row>
    <row r="30">
      <c r="A30" s="20" t="n"/>
      <c r="B30" s="20" t="n"/>
      <c r="C30" s="20" t="n"/>
      <c r="D30" s="21" t="n"/>
      <c r="E30" s="19" t="n"/>
      <c r="F30" s="19" t="n"/>
      <c r="G30" s="20" t="n"/>
      <c r="H30" s="19" t="n"/>
      <c r="I30" s="19" t="n"/>
      <c r="J30" s="19" t="n"/>
      <c r="K30" s="20" t="n"/>
      <c r="L30" s="19" t="n"/>
    </row>
    <row r="31">
      <c r="A31" s="20" t="n"/>
      <c r="B31" s="20" t="n"/>
      <c r="C31" s="20" t="n"/>
      <c r="D31" s="21" t="n"/>
      <c r="E31" s="19" t="n"/>
      <c r="F31" s="19" t="n"/>
      <c r="G31" s="20" t="n"/>
      <c r="H31" s="19" t="n"/>
      <c r="I31" s="19" t="n"/>
      <c r="J31" s="19" t="n"/>
      <c r="K31" s="20" t="n"/>
      <c r="L31" s="19" t="n"/>
    </row>
    <row r="32">
      <c r="A32" s="20" t="n"/>
      <c r="B32" s="20" t="n"/>
      <c r="C32" s="20" t="n"/>
      <c r="D32" s="21" t="n"/>
      <c r="E32" s="19" t="n"/>
      <c r="F32" s="19" t="n"/>
      <c r="G32" s="20" t="n"/>
      <c r="H32" s="19" t="n"/>
      <c r="I32" s="19" t="n"/>
      <c r="J32" s="19" t="n"/>
      <c r="K32" s="20" t="n"/>
      <c r="L32" s="19" t="n"/>
    </row>
    <row r="33">
      <c r="A33" s="20" t="n"/>
      <c r="B33" s="20" t="n"/>
      <c r="C33" s="20" t="n"/>
      <c r="D33" s="21" t="n"/>
      <c r="E33" s="19" t="n"/>
      <c r="F33" s="19" t="n"/>
      <c r="G33" s="20" t="n"/>
      <c r="H33" s="19" t="n"/>
      <c r="I33" s="19" t="n"/>
      <c r="J33" s="19" t="n"/>
      <c r="K33" s="20" t="n"/>
      <c r="L33" s="19" t="n"/>
    </row>
    <row r="34">
      <c r="A34" s="20" t="n"/>
      <c r="B34" s="20" t="n"/>
      <c r="C34" s="20" t="n"/>
      <c r="D34" s="21" t="n"/>
      <c r="E34" s="19" t="n"/>
      <c r="F34" s="19" t="n"/>
      <c r="G34" s="20" t="n"/>
      <c r="H34" s="19" t="n"/>
      <c r="I34" s="19" t="n"/>
      <c r="J34" s="19" t="n"/>
      <c r="K34" s="20" t="n"/>
      <c r="L34" s="19" t="n"/>
    </row>
    <row r="35">
      <c r="A35" s="20" t="n"/>
      <c r="B35" s="20" t="n"/>
      <c r="C35" s="20" t="n"/>
      <c r="D35" s="21" t="n"/>
      <c r="E35" s="19" t="n"/>
      <c r="F35" s="19" t="n"/>
      <c r="G35" s="20" t="n"/>
      <c r="H35" s="19" t="n"/>
      <c r="I35" s="19" t="n"/>
      <c r="J35" s="19" t="n"/>
      <c r="K35" s="20" t="n"/>
      <c r="L35" s="19" t="n"/>
    </row>
    <row r="36">
      <c r="A36" s="20" t="n"/>
      <c r="B36" s="20" t="n"/>
      <c r="C36" s="20" t="n"/>
      <c r="D36" s="21" t="n"/>
      <c r="E36" s="19" t="n"/>
      <c r="F36" s="19" t="n"/>
      <c r="G36" s="20" t="n"/>
      <c r="H36" s="19" t="n"/>
      <c r="I36" s="19" t="n"/>
      <c r="J36" s="19" t="n"/>
      <c r="K36" s="20" t="n"/>
      <c r="L36" s="19" t="n"/>
    </row>
    <row r="37">
      <c r="A37" s="20" t="n"/>
      <c r="B37" s="20" t="n"/>
      <c r="C37" s="20" t="n"/>
      <c r="D37" s="21" t="n"/>
      <c r="E37" s="19" t="n"/>
      <c r="F37" s="19" t="n"/>
      <c r="G37" s="20" t="n"/>
      <c r="H37" s="19" t="n"/>
      <c r="I37" s="19" t="n"/>
      <c r="J37" s="19" t="n"/>
      <c r="K37" s="20" t="n"/>
      <c r="L37" s="19" t="n"/>
    </row>
    <row r="38">
      <c r="A38" s="20" t="n"/>
      <c r="B38" s="20" t="n"/>
      <c r="C38" s="20" t="n"/>
      <c r="D38" s="21" t="n"/>
      <c r="E38" s="19" t="n"/>
      <c r="F38" s="19" t="n"/>
      <c r="G38" s="20" t="n"/>
      <c r="H38" s="19" t="n"/>
      <c r="I38" s="19" t="n"/>
      <c r="J38" s="19" t="n"/>
      <c r="K38" s="20" t="n"/>
      <c r="L38" s="19" t="n"/>
    </row>
    <row r="39">
      <c r="A39" s="20" t="n"/>
      <c r="B39" s="20" t="n"/>
      <c r="C39" s="20" t="n"/>
      <c r="D39" s="21" t="n"/>
      <c r="E39" s="19" t="n"/>
      <c r="F39" s="19" t="n"/>
      <c r="G39" s="20" t="n"/>
      <c r="H39" s="19" t="n"/>
      <c r="I39" s="19" t="n"/>
      <c r="J39" s="19" t="n"/>
      <c r="K39" s="20" t="n"/>
      <c r="L39" s="19" t="n"/>
    </row>
    <row r="40">
      <c r="A40" s="20" t="n"/>
      <c r="B40" s="20" t="n"/>
      <c r="C40" s="20" t="n"/>
      <c r="D40" s="21" t="n"/>
      <c r="E40" s="19" t="n"/>
      <c r="F40" s="19" t="n"/>
      <c r="G40" s="20" t="n"/>
      <c r="H40" s="19" t="n"/>
      <c r="I40" s="19" t="n"/>
      <c r="J40" s="19" t="n"/>
      <c r="K40" s="20" t="n"/>
      <c r="L40" s="19" t="n"/>
    </row>
    <row r="41">
      <c r="A41" s="20" t="n"/>
      <c r="B41" s="20" t="n"/>
      <c r="C41" s="20" t="n"/>
      <c r="D41" s="21" t="n"/>
      <c r="E41" s="19" t="n"/>
      <c r="F41" s="19" t="n"/>
      <c r="G41" s="20" t="n"/>
      <c r="H41" s="19" t="n"/>
      <c r="I41" s="19" t="n"/>
      <c r="J41" s="19" t="n"/>
      <c r="K41" s="20" t="n"/>
      <c r="L41" s="19" t="n"/>
    </row>
    <row r="42">
      <c r="A42" s="20" t="n"/>
      <c r="B42" s="20" t="n"/>
      <c r="C42" s="20" t="n"/>
      <c r="D42" s="21" t="n"/>
      <c r="E42" s="19" t="n"/>
      <c r="F42" s="19" t="n"/>
      <c r="G42" s="20" t="n"/>
      <c r="H42" s="19" t="n"/>
      <c r="I42" s="19" t="n"/>
      <c r="J42" s="19" t="n"/>
      <c r="K42" s="20" t="n"/>
      <c r="L42" s="19" t="n"/>
    </row>
    <row r="43">
      <c r="A43" s="20" t="n"/>
      <c r="B43" s="20" t="n"/>
      <c r="C43" s="20" t="n"/>
      <c r="D43" s="21" t="n"/>
      <c r="E43" s="19" t="n"/>
      <c r="F43" s="19" t="n"/>
      <c r="G43" s="20" t="n"/>
      <c r="H43" s="19" t="n"/>
      <c r="I43" s="19" t="n"/>
      <c r="J43" s="19" t="n"/>
      <c r="K43" s="20" t="n"/>
      <c r="L43" s="19" t="n"/>
    </row>
    <row r="44">
      <c r="A44" s="20" t="n"/>
      <c r="B44" s="20" t="n"/>
      <c r="C44" s="20" t="n"/>
      <c r="D44" s="21" t="n"/>
      <c r="E44" s="19" t="n"/>
      <c r="F44" s="19" t="n"/>
      <c r="G44" s="20" t="n"/>
      <c r="H44" s="19" t="n"/>
      <c r="I44" s="19" t="n"/>
      <c r="J44" s="19" t="n"/>
      <c r="K44" s="20" t="n"/>
      <c r="L44" s="19" t="n"/>
    </row>
    <row r="45">
      <c r="A45" s="20" t="n"/>
      <c r="B45" s="20" t="n"/>
      <c r="C45" s="20" t="n"/>
      <c r="D45" s="21" t="n"/>
      <c r="E45" s="19" t="n"/>
      <c r="F45" s="19" t="n"/>
      <c r="G45" s="20" t="n"/>
      <c r="H45" s="19" t="n"/>
      <c r="I45" s="19" t="n"/>
      <c r="J45" s="19" t="n"/>
      <c r="K45" s="20" t="n"/>
      <c r="L45" s="19" t="n"/>
    </row>
    <row r="46">
      <c r="A46" s="20" t="n"/>
      <c r="B46" s="20" t="n"/>
      <c r="C46" s="20" t="n"/>
      <c r="D46" s="21" t="n"/>
      <c r="E46" s="19" t="n"/>
      <c r="F46" s="19" t="n"/>
      <c r="G46" s="20" t="n"/>
      <c r="H46" s="19" t="n"/>
      <c r="I46" s="19" t="n"/>
      <c r="J46" s="19" t="n"/>
      <c r="K46" s="20" t="n"/>
      <c r="L46" s="19" t="n"/>
    </row>
    <row r="47">
      <c r="A47" s="20" t="n"/>
      <c r="B47" s="20" t="n"/>
      <c r="C47" s="20" t="n"/>
      <c r="D47" s="21" t="n"/>
      <c r="E47" s="19" t="n"/>
      <c r="F47" s="19" t="n"/>
      <c r="G47" s="20" t="n"/>
      <c r="H47" s="19" t="n"/>
      <c r="I47" s="19" t="n"/>
      <c r="J47" s="19" t="n"/>
      <c r="K47" s="20" t="n"/>
      <c r="L47" s="19" t="n"/>
    </row>
    <row r="48">
      <c r="A48" s="20" t="n"/>
      <c r="B48" s="20" t="n"/>
      <c r="C48" s="20" t="n"/>
      <c r="D48" s="21" t="n"/>
      <c r="E48" s="19" t="n"/>
      <c r="F48" s="19" t="n"/>
      <c r="G48" s="20" t="n"/>
      <c r="H48" s="19" t="n"/>
      <c r="I48" s="19" t="n"/>
      <c r="J48" s="19" t="n"/>
      <c r="K48" s="20" t="n"/>
      <c r="L48" s="19" t="n"/>
    </row>
    <row r="49">
      <c r="A49" s="20" t="n"/>
      <c r="B49" s="20" t="n"/>
      <c r="C49" s="20" t="n"/>
      <c r="D49" s="21" t="n"/>
      <c r="E49" s="19" t="n"/>
      <c r="F49" s="19" t="n"/>
      <c r="G49" s="20" t="n"/>
      <c r="H49" s="19" t="n"/>
      <c r="I49" s="19" t="n"/>
      <c r="J49" s="19" t="n"/>
      <c r="K49" s="20" t="n"/>
      <c r="L49" s="19" t="n"/>
    </row>
    <row r="50">
      <c r="A50" s="20" t="n"/>
      <c r="B50" s="20" t="n"/>
      <c r="C50" s="20" t="n"/>
      <c r="D50" s="21" t="n"/>
      <c r="E50" s="19" t="n"/>
      <c r="F50" s="19" t="n"/>
      <c r="G50" s="20" t="n"/>
      <c r="H50" s="19" t="n"/>
      <c r="I50" s="19" t="n"/>
      <c r="J50" s="19" t="n"/>
      <c r="K50" s="20" t="n"/>
      <c r="L50" s="19" t="n"/>
    </row>
    <row r="51">
      <c r="A51" s="20" t="n"/>
      <c r="B51" s="20" t="n"/>
      <c r="C51" s="20" t="n"/>
      <c r="D51" s="21" t="n"/>
      <c r="E51" s="19" t="n"/>
      <c r="F51" s="19" t="n"/>
      <c r="G51" s="20" t="n"/>
      <c r="H51" s="19" t="n"/>
      <c r="I51" s="19" t="n"/>
      <c r="J51" s="19" t="n"/>
      <c r="K51" s="20" t="n"/>
      <c r="L51" s="19" t="n"/>
    </row>
    <row r="52">
      <c r="A52" s="20" t="n"/>
      <c r="B52" s="20" t="n"/>
      <c r="C52" s="20" t="n"/>
      <c r="D52" s="21" t="n"/>
      <c r="E52" s="19" t="n"/>
      <c r="F52" s="19" t="n"/>
      <c r="G52" s="20" t="n"/>
      <c r="H52" s="19" t="n"/>
      <c r="I52" s="19" t="n"/>
      <c r="J52" s="19" t="n"/>
      <c r="K52" s="20" t="n"/>
      <c r="L52" s="19" t="n"/>
    </row>
    <row r="53">
      <c r="A53" s="20" t="n"/>
      <c r="B53" s="20" t="n"/>
      <c r="C53" s="20" t="n"/>
      <c r="D53" s="21" t="n"/>
      <c r="E53" s="19" t="n"/>
      <c r="F53" s="19" t="n"/>
      <c r="G53" s="20" t="n"/>
      <c r="H53" s="19" t="n"/>
      <c r="I53" s="19" t="n"/>
      <c r="J53" s="19" t="n"/>
      <c r="K53" s="20" t="n"/>
      <c r="L53" s="19" t="n"/>
    </row>
    <row r="54">
      <c r="A54" s="20" t="n"/>
      <c r="B54" s="20" t="n"/>
      <c r="C54" s="20" t="n"/>
      <c r="D54" s="21" t="n"/>
      <c r="E54" s="19" t="n"/>
      <c r="F54" s="19" t="n"/>
      <c r="G54" s="20" t="n"/>
      <c r="H54" s="19" t="n"/>
      <c r="I54" s="19" t="n"/>
      <c r="J54" s="19" t="n"/>
      <c r="K54" s="20" t="n"/>
      <c r="L54" s="19" t="n"/>
    </row>
    <row r="55">
      <c r="A55" s="20" t="n"/>
      <c r="B55" s="20" t="n"/>
      <c r="C55" s="20" t="n"/>
      <c r="D55" s="21" t="n"/>
      <c r="E55" s="19" t="n"/>
      <c r="F55" s="19" t="n"/>
      <c r="G55" s="20" t="n"/>
      <c r="H55" s="19" t="n"/>
      <c r="I55" s="19" t="n"/>
      <c r="J55" s="19" t="n"/>
      <c r="K55" s="20" t="n"/>
      <c r="L55" s="19" t="n"/>
    </row>
    <row r="56">
      <c r="A56" s="20" t="n"/>
      <c r="B56" s="20" t="n"/>
      <c r="C56" s="20" t="n"/>
      <c r="D56" s="21" t="n"/>
      <c r="E56" s="19" t="n"/>
      <c r="F56" s="19" t="n"/>
      <c r="G56" s="20" t="n"/>
      <c r="H56" s="19" t="n"/>
      <c r="I56" s="19" t="n"/>
      <c r="J56" s="19" t="n"/>
      <c r="K56" s="20" t="n"/>
      <c r="L56" s="19" t="n"/>
    </row>
    <row r="57">
      <c r="A57" s="20" t="n"/>
      <c r="B57" s="20" t="n"/>
      <c r="C57" s="20" t="n"/>
      <c r="D57" s="21" t="n"/>
      <c r="E57" s="19" t="n"/>
      <c r="F57" s="19" t="n"/>
      <c r="G57" s="20" t="n"/>
      <c r="H57" s="19" t="n"/>
      <c r="I57" s="19" t="n"/>
      <c r="J57" s="19" t="n"/>
      <c r="K57" s="20" t="n"/>
      <c r="L57" s="19" t="n"/>
    </row>
    <row r="58">
      <c r="A58" s="20" t="n"/>
      <c r="B58" s="20" t="n"/>
      <c r="C58" s="20" t="n"/>
      <c r="D58" s="21" t="n"/>
      <c r="E58" s="19" t="n"/>
      <c r="F58" s="19" t="n"/>
      <c r="G58" s="20" t="n"/>
      <c r="H58" s="19" t="n"/>
      <c r="I58" s="19" t="n"/>
      <c r="J58" s="19" t="n"/>
      <c r="K58" s="20" t="n"/>
      <c r="L58" s="19" t="n"/>
    </row>
    <row r="59">
      <c r="A59" s="20" t="n"/>
      <c r="B59" s="20" t="n"/>
      <c r="C59" s="20" t="n"/>
      <c r="D59" s="21" t="n"/>
      <c r="E59" s="19" t="n"/>
      <c r="F59" s="19" t="n"/>
      <c r="G59" s="20" t="n"/>
      <c r="H59" s="19" t="n"/>
      <c r="I59" s="19" t="n"/>
      <c r="J59" s="19" t="n"/>
      <c r="K59" s="20" t="n"/>
      <c r="L59" s="19" t="n"/>
    </row>
    <row r="60">
      <c r="A60" s="20" t="n"/>
      <c r="B60" s="20" t="n"/>
      <c r="C60" s="20" t="n"/>
      <c r="D60" s="21" t="n"/>
      <c r="E60" s="19" t="n"/>
      <c r="F60" s="19" t="n"/>
      <c r="G60" s="20" t="n"/>
      <c r="H60" s="19" t="n"/>
      <c r="I60" s="19" t="n"/>
      <c r="J60" s="19" t="n"/>
      <c r="K60" s="20" t="n"/>
      <c r="L60" s="19" t="n"/>
    </row>
    <row r="61">
      <c r="A61" s="20" t="n"/>
      <c r="B61" s="20" t="n"/>
      <c r="C61" s="20" t="n"/>
      <c r="D61" s="21" t="n"/>
      <c r="E61" s="19" t="n"/>
      <c r="F61" s="19" t="n"/>
      <c r="G61" s="20" t="n"/>
      <c r="H61" s="19" t="n"/>
      <c r="I61" s="19" t="n"/>
      <c r="J61" s="19" t="n"/>
      <c r="K61" s="20" t="n"/>
      <c r="L61" s="19" t="n"/>
    </row>
    <row r="62">
      <c r="A62" s="20" t="n"/>
      <c r="B62" s="20" t="n"/>
      <c r="C62" s="20" t="n"/>
      <c r="D62" s="21" t="n"/>
      <c r="E62" s="19" t="n"/>
      <c r="F62" s="19" t="n"/>
      <c r="G62" s="20" t="n"/>
      <c r="H62" s="19" t="n"/>
      <c r="I62" s="19" t="n"/>
      <c r="J62" s="19" t="n"/>
      <c r="K62" s="20" t="n"/>
      <c r="L62" s="19" t="n"/>
    </row>
    <row r="63">
      <c r="A63" s="20" t="n"/>
      <c r="B63" s="20" t="n"/>
      <c r="C63" s="20" t="n"/>
      <c r="D63" s="21" t="n"/>
      <c r="E63" s="19" t="n"/>
      <c r="F63" s="19" t="n"/>
      <c r="G63" s="20" t="n"/>
      <c r="H63" s="19" t="n"/>
      <c r="I63" s="19" t="n"/>
      <c r="J63" s="19" t="n"/>
      <c r="K63" s="20" t="n"/>
      <c r="L63" s="19" t="n"/>
    </row>
    <row r="64">
      <c r="A64" s="20" t="n"/>
      <c r="B64" s="20" t="n"/>
      <c r="C64" s="20" t="n"/>
      <c r="D64" s="21" t="n"/>
      <c r="E64" s="19" t="n"/>
      <c r="F64" s="19" t="n"/>
      <c r="G64" s="20" t="n"/>
      <c r="H64" s="19" t="n"/>
      <c r="I64" s="19" t="n"/>
      <c r="J64" s="19" t="n"/>
      <c r="K64" s="20" t="n"/>
      <c r="L64" s="19" t="n"/>
    </row>
    <row r="65">
      <c r="A65" s="20" t="n"/>
      <c r="B65" s="20" t="n"/>
      <c r="C65" s="20" t="n"/>
      <c r="D65" s="21" t="n"/>
      <c r="E65" s="19" t="n"/>
      <c r="F65" s="19" t="n"/>
      <c r="G65" s="20" t="n"/>
      <c r="H65" s="19" t="n"/>
      <c r="I65" s="19" t="n"/>
      <c r="J65" s="19" t="n"/>
      <c r="K65" s="20" t="n"/>
      <c r="L65" s="19" t="n"/>
    </row>
    <row r="66">
      <c r="A66" s="20" t="n"/>
      <c r="B66" s="20" t="n"/>
      <c r="C66" s="20" t="n"/>
      <c r="D66" s="21" t="n"/>
      <c r="E66" s="19" t="n"/>
      <c r="F66" s="19" t="n"/>
      <c r="G66" s="20" t="n"/>
      <c r="H66" s="19" t="n"/>
      <c r="I66" s="19" t="n"/>
      <c r="J66" s="19" t="n"/>
      <c r="K66" s="20" t="n"/>
      <c r="L66" s="19" t="n"/>
    </row>
    <row r="67">
      <c r="A67" s="20" t="n"/>
      <c r="B67" s="20" t="n"/>
      <c r="C67" s="20" t="n"/>
      <c r="D67" s="21" t="n"/>
      <c r="E67" s="19" t="n"/>
      <c r="F67" s="19" t="n"/>
      <c r="G67" s="20" t="n"/>
      <c r="H67" s="19" t="n"/>
      <c r="I67" s="19" t="n"/>
      <c r="J67" s="19" t="n"/>
      <c r="K67" s="20" t="n"/>
      <c r="L67" s="19" t="n"/>
    </row>
    <row r="68">
      <c r="A68" s="20" t="n"/>
      <c r="B68" s="20" t="n"/>
      <c r="C68" s="20" t="n"/>
      <c r="D68" s="21" t="n"/>
      <c r="E68" s="19" t="n"/>
      <c r="F68" s="19" t="n"/>
      <c r="G68" s="20" t="n"/>
      <c r="H68" s="19" t="n"/>
      <c r="I68" s="19" t="n"/>
      <c r="J68" s="19" t="n"/>
      <c r="K68" s="20" t="n"/>
      <c r="L68" s="19" t="n"/>
    </row>
    <row r="69">
      <c r="A69" s="20" t="n"/>
      <c r="B69" s="20" t="n"/>
      <c r="C69" s="20" t="n"/>
      <c r="D69" s="21" t="n"/>
      <c r="E69" s="19" t="n"/>
      <c r="F69" s="19" t="n"/>
      <c r="G69" s="20" t="n"/>
      <c r="H69" s="19" t="n"/>
      <c r="I69" s="19" t="n"/>
      <c r="J69" s="19" t="n"/>
      <c r="K69" s="20" t="n"/>
      <c r="L69" s="19" t="n"/>
    </row>
    <row r="70">
      <c r="A70" s="20" t="n"/>
      <c r="B70" s="20" t="n"/>
      <c r="C70" s="20" t="n"/>
      <c r="D70" s="21" t="n"/>
      <c r="E70" s="19" t="n"/>
      <c r="F70" s="19" t="n"/>
      <c r="G70" s="20" t="n"/>
      <c r="H70" s="19" t="n"/>
      <c r="I70" s="19" t="n"/>
      <c r="J70" s="19" t="n"/>
      <c r="K70" s="20" t="n"/>
      <c r="L70" s="19" t="n"/>
    </row>
    <row r="71">
      <c r="A71" s="20" t="n"/>
      <c r="B71" s="20" t="n"/>
      <c r="C71" s="20" t="n"/>
      <c r="D71" s="21" t="n"/>
      <c r="E71" s="19" t="n"/>
      <c r="F71" s="19" t="n"/>
      <c r="G71" s="20" t="n"/>
      <c r="H71" s="19" t="n"/>
      <c r="I71" s="19" t="n"/>
      <c r="J71" s="19" t="n"/>
      <c r="K71" s="20" t="n"/>
      <c r="L71" s="19" t="n"/>
    </row>
    <row r="72">
      <c r="A72" s="20" t="n"/>
      <c r="B72" s="20" t="n"/>
      <c r="C72" s="20" t="n"/>
      <c r="D72" s="21" t="n"/>
      <c r="E72" s="19" t="n"/>
      <c r="F72" s="19" t="n"/>
      <c r="G72" s="20" t="n"/>
      <c r="H72" s="19" t="n"/>
      <c r="I72" s="19" t="n"/>
      <c r="J72" s="19" t="n"/>
      <c r="K72" s="20" t="n"/>
      <c r="L72" s="19" t="n"/>
    </row>
    <row r="73">
      <c r="A73" s="20" t="n"/>
      <c r="B73" s="20" t="n"/>
      <c r="C73" s="20" t="n"/>
      <c r="D73" s="21" t="n"/>
      <c r="E73" s="19" t="n"/>
      <c r="F73" s="19" t="n"/>
      <c r="G73" s="20" t="n"/>
      <c r="H73" s="19" t="n"/>
      <c r="I73" s="19" t="n"/>
      <c r="J73" s="19" t="n"/>
      <c r="K73" s="20" t="n"/>
      <c r="L73" s="19" t="n"/>
    </row>
    <row r="74">
      <c r="A74" s="20" t="n"/>
      <c r="B74" s="20" t="n"/>
      <c r="C74" s="20" t="n"/>
      <c r="D74" s="21" t="n"/>
      <c r="E74" s="19" t="n"/>
      <c r="F74" s="19" t="n"/>
      <c r="G74" s="20" t="n"/>
      <c r="H74" s="19" t="n"/>
      <c r="I74" s="19" t="n"/>
      <c r="J74" s="19" t="n"/>
      <c r="K74" s="20" t="n"/>
      <c r="L74" s="19" t="n"/>
    </row>
    <row r="75">
      <c r="A75" s="20" t="n"/>
      <c r="B75" s="20" t="n"/>
      <c r="C75" s="20" t="n"/>
      <c r="D75" s="21" t="n"/>
      <c r="E75" s="19" t="n"/>
      <c r="F75" s="19" t="n"/>
      <c r="G75" s="20" t="n"/>
      <c r="H75" s="19" t="n"/>
      <c r="I75" s="19" t="n"/>
      <c r="J75" s="19" t="n"/>
      <c r="K75" s="20" t="n"/>
      <c r="L75" s="19" t="n"/>
    </row>
    <row r="76">
      <c r="A76" s="20" t="n"/>
      <c r="B76" s="20" t="n"/>
      <c r="C76" s="20" t="n"/>
      <c r="D76" s="21" t="n"/>
      <c r="E76" s="19" t="n"/>
      <c r="F76" s="19" t="n"/>
      <c r="G76" s="20" t="n"/>
      <c r="H76" s="19" t="n"/>
      <c r="I76" s="19" t="n"/>
      <c r="J76" s="19" t="n"/>
      <c r="K76" s="20" t="n"/>
      <c r="L76" s="19" t="n"/>
    </row>
    <row r="77">
      <c r="A77" s="20" t="n"/>
      <c r="B77" s="20" t="n"/>
      <c r="C77" s="20" t="n"/>
      <c r="D77" s="21" t="n"/>
      <c r="E77" s="19" t="n"/>
      <c r="F77" s="19" t="n"/>
      <c r="G77" s="20" t="n"/>
      <c r="H77" s="19" t="n"/>
      <c r="I77" s="19" t="n"/>
      <c r="J77" s="19" t="n"/>
      <c r="K77" s="20" t="n"/>
      <c r="L77" s="19" t="n"/>
    </row>
    <row r="78">
      <c r="A78" s="20" t="n"/>
      <c r="B78" s="20" t="n"/>
      <c r="C78" s="20" t="n"/>
      <c r="D78" s="21" t="n"/>
      <c r="E78" s="19" t="n"/>
      <c r="F78" s="19" t="n"/>
      <c r="G78" s="20" t="n"/>
      <c r="H78" s="19" t="n"/>
      <c r="I78" s="19" t="n"/>
      <c r="J78" s="19" t="n"/>
      <c r="K78" s="20" t="n"/>
      <c r="L78" s="19" t="n"/>
    </row>
    <row r="79">
      <c r="A79" s="20" t="n"/>
      <c r="B79" s="20" t="n"/>
      <c r="C79" s="20" t="n"/>
      <c r="D79" s="21" t="n"/>
      <c r="E79" s="19" t="n"/>
      <c r="F79" s="19" t="n"/>
      <c r="G79" s="20" t="n"/>
      <c r="H79" s="19" t="n"/>
      <c r="I79" s="19" t="n"/>
      <c r="J79" s="19" t="n"/>
      <c r="K79" s="20" t="n"/>
      <c r="L79" s="19" t="n"/>
    </row>
    <row r="80">
      <c r="A80" s="20" t="n"/>
      <c r="B80" s="20" t="n"/>
      <c r="C80" s="20" t="n"/>
      <c r="D80" s="21" t="n"/>
      <c r="E80" s="19" t="n"/>
      <c r="F80" s="19" t="n"/>
      <c r="G80" s="20" t="n"/>
      <c r="H80" s="19" t="n"/>
      <c r="I80" s="19" t="n"/>
      <c r="J80" s="19" t="n"/>
      <c r="K80" s="20" t="n"/>
      <c r="L80" s="19" t="n"/>
    </row>
    <row r="81">
      <c r="A81" s="20" t="n"/>
      <c r="B81" s="20" t="n"/>
      <c r="C81" s="20" t="n"/>
      <c r="D81" s="21" t="n"/>
      <c r="E81" s="19" t="n"/>
      <c r="F81" s="19" t="n"/>
      <c r="G81" s="20" t="n"/>
      <c r="H81" s="19" t="n"/>
      <c r="I81" s="19" t="n"/>
      <c r="J81" s="19" t="n"/>
      <c r="K81" s="20" t="n"/>
      <c r="L81" s="19" t="n"/>
    </row>
    <row r="82">
      <c r="A82" s="20" t="n"/>
      <c r="B82" s="20" t="n"/>
      <c r="C82" s="20" t="n"/>
      <c r="D82" s="21" t="n"/>
      <c r="E82" s="19" t="n"/>
      <c r="F82" s="19" t="n"/>
      <c r="G82" s="20" t="n"/>
      <c r="H82" s="19" t="n"/>
      <c r="I82" s="19" t="n"/>
      <c r="J82" s="19" t="n"/>
      <c r="K82" s="20" t="n"/>
      <c r="L82" s="19" t="n"/>
    </row>
    <row r="83">
      <c r="A83" s="20" t="n"/>
      <c r="B83" s="20" t="n"/>
      <c r="C83" s="20" t="n"/>
      <c r="D83" s="21" t="n"/>
      <c r="E83" s="19" t="n"/>
      <c r="F83" s="19" t="n"/>
      <c r="G83" s="20" t="n"/>
      <c r="H83" s="19" t="n"/>
      <c r="I83" s="19" t="n"/>
      <c r="J83" s="19" t="n"/>
      <c r="K83" s="20" t="n"/>
      <c r="L83" s="19" t="n"/>
    </row>
    <row r="84">
      <c r="A84" s="20" t="n"/>
      <c r="B84" s="20" t="n"/>
      <c r="C84" s="20" t="n"/>
      <c r="D84" s="21" t="n"/>
      <c r="E84" s="19" t="n"/>
      <c r="F84" s="19" t="n"/>
      <c r="G84" s="20" t="n"/>
      <c r="H84" s="19" t="n"/>
      <c r="I84" s="19" t="n"/>
      <c r="J84" s="19" t="n"/>
      <c r="K84" s="20" t="n"/>
      <c r="L84" s="19" t="n"/>
    </row>
    <row r="85">
      <c r="A85" s="20" t="n"/>
      <c r="B85" s="20" t="n"/>
      <c r="C85" s="20" t="n"/>
      <c r="D85" s="21" t="n"/>
      <c r="E85" s="19" t="n"/>
      <c r="F85" s="19" t="n"/>
      <c r="G85" s="20" t="n"/>
      <c r="H85" s="19" t="n"/>
      <c r="I85" s="19" t="n"/>
      <c r="J85" s="19" t="n"/>
      <c r="K85" s="20" t="n"/>
      <c r="L85" s="19" t="n"/>
    </row>
    <row r="86">
      <c r="A86" s="20" t="n"/>
      <c r="B86" s="20" t="n"/>
      <c r="C86" s="20" t="n"/>
      <c r="D86" s="21" t="n"/>
      <c r="E86" s="19" t="n"/>
      <c r="F86" s="19" t="n"/>
      <c r="G86" s="20" t="n"/>
      <c r="H86" s="19" t="n"/>
      <c r="I86" s="19" t="n"/>
      <c r="J86" s="19" t="n"/>
      <c r="K86" s="20" t="n"/>
      <c r="L86" s="19" t="n"/>
    </row>
    <row r="87">
      <c r="A87" s="20" t="n"/>
      <c r="B87" s="20" t="n"/>
      <c r="C87" s="20" t="n"/>
      <c r="D87" s="21" t="n"/>
      <c r="E87" s="19" t="n"/>
      <c r="F87" s="19" t="n"/>
      <c r="G87" s="20" t="n"/>
      <c r="H87" s="19" t="n"/>
      <c r="I87" s="19" t="n"/>
      <c r="J87" s="19" t="n"/>
      <c r="K87" s="20" t="n"/>
      <c r="L87" s="19" t="n"/>
    </row>
    <row r="88">
      <c r="A88" s="20" t="n"/>
      <c r="B88" s="20" t="n"/>
      <c r="C88" s="20" t="n"/>
      <c r="D88" s="21" t="n"/>
      <c r="E88" s="19" t="n"/>
      <c r="F88" s="19" t="n"/>
      <c r="G88" s="20" t="n"/>
      <c r="H88" s="19" t="n"/>
      <c r="I88" s="19" t="n"/>
      <c r="J88" s="19" t="n"/>
      <c r="K88" s="20" t="n"/>
      <c r="L88" s="19" t="n"/>
    </row>
    <row r="89">
      <c r="A89" s="20" t="n"/>
      <c r="B89" s="20" t="n"/>
      <c r="C89" s="20" t="n"/>
      <c r="D89" s="21" t="n"/>
      <c r="E89" s="19" t="n"/>
      <c r="F89" s="19" t="n"/>
      <c r="G89" s="20" t="n"/>
      <c r="H89" s="19" t="n"/>
      <c r="I89" s="19" t="n"/>
      <c r="J89" s="19" t="n"/>
      <c r="K89" s="20" t="n"/>
      <c r="L89" s="19" t="n"/>
    </row>
    <row r="90">
      <c r="A90" s="20" t="n"/>
      <c r="B90" s="20" t="n"/>
      <c r="C90" s="20" t="n"/>
      <c r="D90" s="21" t="n"/>
      <c r="E90" s="19" t="n"/>
      <c r="F90" s="19" t="n"/>
      <c r="G90" s="20" t="n"/>
      <c r="H90" s="19" t="n"/>
      <c r="I90" s="19" t="n"/>
      <c r="J90" s="19" t="n"/>
      <c r="K90" s="20" t="n"/>
      <c r="L90" s="19" t="n"/>
    </row>
    <row r="91">
      <c r="A91" s="20" t="n"/>
      <c r="B91" s="20" t="n"/>
      <c r="C91" s="20" t="n"/>
      <c r="D91" s="21" t="n"/>
      <c r="E91" s="19" t="n"/>
      <c r="F91" s="19" t="n"/>
      <c r="G91" s="20" t="n"/>
      <c r="H91" s="19" t="n"/>
      <c r="I91" s="19" t="n"/>
      <c r="J91" s="19" t="n"/>
      <c r="K91" s="20" t="n"/>
      <c r="L91" s="19" t="n"/>
    </row>
    <row r="92">
      <c r="A92" s="20" t="n"/>
      <c r="B92" s="20" t="n"/>
      <c r="C92" s="20" t="n"/>
      <c r="D92" s="21" t="n"/>
      <c r="E92" s="19" t="n"/>
      <c r="F92" s="19" t="n"/>
      <c r="G92" s="20" t="n"/>
      <c r="H92" s="19" t="n"/>
      <c r="I92" s="19" t="n"/>
      <c r="J92" s="19" t="n"/>
      <c r="K92" s="20" t="n"/>
      <c r="L92" s="19" t="n"/>
    </row>
    <row r="93">
      <c r="A93" s="20" t="n"/>
      <c r="B93" s="20" t="n"/>
      <c r="C93" s="20" t="n"/>
      <c r="D93" s="21" t="n"/>
      <c r="E93" s="19" t="n"/>
      <c r="F93" s="19" t="n"/>
      <c r="G93" s="20" t="n"/>
      <c r="H93" s="19" t="n"/>
      <c r="I93" s="19" t="n"/>
      <c r="J93" s="19" t="n"/>
      <c r="K93" s="20" t="n"/>
      <c r="L93" s="19" t="n"/>
    </row>
    <row r="94">
      <c r="A94" s="20" t="n"/>
      <c r="B94" s="20" t="n"/>
      <c r="C94" s="20" t="n"/>
      <c r="D94" s="21" t="n"/>
      <c r="E94" s="19" t="n"/>
      <c r="F94" s="19" t="n"/>
      <c r="G94" s="20" t="n"/>
      <c r="H94" s="19" t="n"/>
      <c r="I94" s="19" t="n"/>
      <c r="J94" s="19" t="n"/>
      <c r="K94" s="20" t="n"/>
      <c r="L94" s="19" t="n"/>
    </row>
    <row r="95">
      <c r="A95" s="20" t="n"/>
      <c r="B95" s="20" t="n"/>
      <c r="C95" s="20" t="n"/>
      <c r="D95" s="21" t="n"/>
      <c r="E95" s="19" t="n"/>
      <c r="F95" s="19" t="n"/>
      <c r="G95" s="20" t="n"/>
      <c r="H95" s="19" t="n"/>
      <c r="I95" s="19" t="n"/>
      <c r="J95" s="19" t="n"/>
      <c r="K95" s="20" t="n"/>
      <c r="L95" s="19" t="n"/>
    </row>
    <row r="96">
      <c r="A96" s="20" t="n"/>
      <c r="B96" s="20" t="n"/>
      <c r="C96" s="20" t="n"/>
      <c r="D96" s="21" t="n"/>
      <c r="E96" s="19" t="n"/>
      <c r="F96" s="19" t="n"/>
      <c r="G96" s="20" t="n"/>
      <c r="H96" s="19" t="n"/>
      <c r="I96" s="19" t="n"/>
      <c r="J96" s="19" t="n"/>
      <c r="K96" s="20" t="n"/>
      <c r="L96" s="19" t="n"/>
    </row>
    <row r="97">
      <c r="A97" s="20" t="n"/>
      <c r="B97" s="20" t="n"/>
      <c r="C97" s="20" t="n"/>
      <c r="D97" s="21" t="n"/>
      <c r="E97" s="19" t="n"/>
      <c r="F97" s="19" t="n"/>
      <c r="G97" s="20" t="n"/>
      <c r="H97" s="19" t="n"/>
      <c r="I97" s="19" t="n"/>
      <c r="J97" s="19" t="n"/>
      <c r="K97" s="20" t="n"/>
      <c r="L97" s="19" t="n"/>
    </row>
    <row r="98">
      <c r="A98" s="20" t="n"/>
      <c r="B98" s="20" t="n"/>
      <c r="C98" s="20" t="n"/>
      <c r="D98" s="21" t="n"/>
      <c r="E98" s="19" t="n"/>
      <c r="F98" s="19" t="n"/>
      <c r="G98" s="20" t="n"/>
      <c r="H98" s="19" t="n"/>
      <c r="I98" s="19" t="n"/>
      <c r="J98" s="19" t="n"/>
      <c r="K98" s="20" t="n"/>
      <c r="L98" s="19" t="n"/>
    </row>
    <row r="99">
      <c r="A99" s="20" t="n"/>
      <c r="B99" s="20" t="n"/>
      <c r="C99" s="20" t="n"/>
      <c r="D99" s="21" t="n"/>
      <c r="E99" s="19" t="n"/>
      <c r="F99" s="19" t="n"/>
      <c r="G99" s="20" t="n"/>
      <c r="H99" s="19" t="n"/>
      <c r="I99" s="19" t="n"/>
      <c r="J99" s="19" t="n"/>
      <c r="K99" s="20" t="n"/>
      <c r="L99" s="19" t="n"/>
    </row>
    <row r="100">
      <c r="A100" s="20" t="n"/>
      <c r="B100" s="20" t="n"/>
      <c r="C100" s="20" t="n"/>
      <c r="D100" s="21" t="n"/>
      <c r="E100" s="19" t="n"/>
      <c r="F100" s="19" t="n"/>
      <c r="G100" s="20" t="n"/>
      <c r="H100" s="19" t="n"/>
      <c r="I100" s="19" t="n"/>
      <c r="J100" s="19" t="n"/>
      <c r="K100" s="20" t="n"/>
      <c r="L100" s="19" t="n"/>
    </row>
    <row r="101">
      <c r="A101" s="20" t="n"/>
      <c r="B101" s="20" t="n"/>
      <c r="C101" s="20" t="n"/>
      <c r="D101" s="21" t="n"/>
      <c r="E101" s="19" t="n"/>
      <c r="F101" s="19" t="n"/>
      <c r="G101" s="20" t="n"/>
      <c r="H101" s="19" t="n"/>
      <c r="I101" s="19" t="n"/>
      <c r="J101" s="19" t="n"/>
      <c r="K101" s="20" t="n"/>
      <c r="L101" s="19" t="n"/>
    </row>
    <row r="102">
      <c r="A102" s="20" t="n"/>
      <c r="B102" s="20" t="n"/>
      <c r="C102" s="20" t="n"/>
      <c r="D102" s="21" t="n"/>
      <c r="E102" s="19" t="n"/>
      <c r="F102" s="19" t="n"/>
      <c r="G102" s="20" t="n"/>
      <c r="H102" s="19" t="n"/>
      <c r="I102" s="19" t="n"/>
      <c r="J102" s="19" t="n"/>
      <c r="K102" s="20" t="n"/>
      <c r="L102" s="19" t="n"/>
    </row>
    <row r="103">
      <c r="A103" s="20" t="n"/>
      <c r="B103" s="20" t="n"/>
      <c r="C103" s="20" t="n"/>
      <c r="D103" s="21" t="n"/>
      <c r="E103" s="19" t="n"/>
      <c r="F103" s="19" t="n"/>
      <c r="G103" s="20" t="n"/>
      <c r="H103" s="19" t="n"/>
      <c r="I103" s="19" t="n"/>
      <c r="J103" s="19" t="n"/>
      <c r="K103" s="20" t="n"/>
      <c r="L103" s="19" t="n"/>
    </row>
    <row r="104">
      <c r="A104" s="20" t="n"/>
      <c r="B104" s="20" t="n"/>
      <c r="C104" s="20" t="n"/>
      <c r="D104" s="21" t="n"/>
      <c r="E104" s="19" t="n"/>
      <c r="F104" s="19" t="n"/>
      <c r="G104" s="20" t="n"/>
      <c r="H104" s="19" t="n"/>
      <c r="I104" s="19" t="n"/>
      <c r="J104" s="19" t="n"/>
      <c r="K104" s="20" t="n"/>
      <c r="L104" s="19" t="n"/>
    </row>
    <row r="105">
      <c r="A105" s="20" t="n"/>
      <c r="B105" s="20" t="n"/>
      <c r="C105" s="20" t="n"/>
      <c r="D105" s="21" t="n"/>
      <c r="E105" s="19" t="n"/>
      <c r="F105" s="19" t="n"/>
      <c r="G105" s="20" t="n"/>
      <c r="H105" s="19" t="n"/>
      <c r="I105" s="19" t="n"/>
      <c r="J105" s="19" t="n"/>
      <c r="K105" s="20" t="n"/>
      <c r="L105" s="19" t="n"/>
    </row>
    <row r="106">
      <c r="A106" s="20" t="n"/>
      <c r="B106" s="20" t="n"/>
      <c r="C106" s="20" t="n"/>
      <c r="D106" s="21" t="n"/>
      <c r="E106" s="19" t="n"/>
      <c r="F106" s="19" t="n"/>
      <c r="G106" s="20" t="n"/>
      <c r="H106" s="19" t="n"/>
      <c r="I106" s="19" t="n"/>
      <c r="J106" s="19" t="n"/>
      <c r="K106" s="20" t="n"/>
      <c r="L106" s="19" t="n"/>
    </row>
    <row r="107">
      <c r="A107" s="20" t="n"/>
      <c r="B107" s="20" t="n"/>
      <c r="C107" s="20" t="n"/>
      <c r="D107" s="21" t="n"/>
      <c r="E107" s="19" t="n"/>
      <c r="F107" s="19" t="n"/>
      <c r="G107" s="20" t="n"/>
      <c r="H107" s="19" t="n"/>
      <c r="I107" s="19" t="n"/>
      <c r="J107" s="19" t="n"/>
      <c r="K107" s="20" t="n"/>
      <c r="L107" s="19" t="n"/>
    </row>
    <row r="108">
      <c r="A108" s="20" t="n"/>
      <c r="B108" s="20" t="n"/>
      <c r="C108" s="20" t="n"/>
      <c r="D108" s="21" t="n"/>
      <c r="E108" s="19" t="n"/>
      <c r="F108" s="19" t="n"/>
      <c r="G108" s="20" t="n"/>
      <c r="H108" s="19" t="n"/>
      <c r="I108" s="19" t="n"/>
      <c r="J108" s="19" t="n"/>
      <c r="K108" s="20" t="n"/>
      <c r="L108" s="19" t="n"/>
    </row>
    <row r="109">
      <c r="A109" s="20" t="n"/>
      <c r="B109" s="20" t="n"/>
      <c r="C109" s="20" t="n"/>
      <c r="D109" s="21" t="n"/>
      <c r="E109" s="19" t="n"/>
      <c r="F109" s="19" t="n"/>
      <c r="G109" s="20" t="n"/>
      <c r="H109" s="19" t="n"/>
      <c r="I109" s="19" t="n"/>
      <c r="J109" s="19" t="n"/>
      <c r="K109" s="20" t="n"/>
      <c r="L109" s="19" t="n"/>
    </row>
    <row r="110">
      <c r="A110" s="20" t="n"/>
      <c r="B110" s="20" t="n"/>
      <c r="C110" s="20" t="n"/>
      <c r="D110" s="21" t="n"/>
      <c r="E110" s="19" t="n"/>
      <c r="F110" s="19" t="n"/>
      <c r="G110" s="20" t="n"/>
      <c r="H110" s="19" t="n"/>
      <c r="I110" s="19" t="n"/>
      <c r="J110" s="19" t="n"/>
      <c r="K110" s="20" t="n"/>
      <c r="L110" s="19" t="n"/>
    </row>
    <row r="111">
      <c r="A111" s="20" t="n"/>
      <c r="B111" s="20" t="n"/>
      <c r="C111" s="20" t="n"/>
      <c r="D111" s="21" t="n"/>
      <c r="E111" s="19" t="n"/>
      <c r="F111" s="19" t="n"/>
      <c r="G111" s="20" t="n"/>
      <c r="H111" s="19" t="n"/>
      <c r="I111" s="19" t="n"/>
      <c r="J111" s="19" t="n"/>
      <c r="K111" s="20" t="n"/>
      <c r="L111" s="19" t="n"/>
    </row>
    <row r="112">
      <c r="A112" s="20" t="n"/>
      <c r="B112" s="20" t="n"/>
      <c r="C112" s="20" t="n"/>
      <c r="D112" s="21" t="n"/>
      <c r="E112" s="19" t="n"/>
      <c r="F112" s="19" t="n"/>
      <c r="G112" s="20" t="n"/>
      <c r="H112" s="19" t="n"/>
      <c r="I112" s="19" t="n"/>
      <c r="J112" s="19" t="n"/>
      <c r="K112" s="20" t="n"/>
      <c r="L112" s="19" t="n"/>
    </row>
    <row r="113">
      <c r="A113" s="20" t="n"/>
      <c r="B113" s="20" t="n"/>
      <c r="C113" s="20" t="n"/>
      <c r="D113" s="21" t="n"/>
      <c r="E113" s="19" t="n"/>
      <c r="F113" s="19" t="n"/>
      <c r="G113" s="20" t="n"/>
      <c r="H113" s="19" t="n"/>
      <c r="I113" s="19" t="n"/>
      <c r="J113" s="19" t="n"/>
      <c r="K113" s="20" t="n"/>
      <c r="L113" s="19" t="n"/>
    </row>
    <row r="114">
      <c r="A114" s="20" t="n"/>
      <c r="B114" s="20" t="n"/>
      <c r="C114" s="20" t="n"/>
      <c r="D114" s="21" t="n"/>
      <c r="E114" s="19" t="n"/>
      <c r="F114" s="19" t="n"/>
      <c r="G114" s="20" t="n"/>
      <c r="H114" s="19" t="n"/>
      <c r="I114" s="19" t="n"/>
      <c r="J114" s="19" t="n"/>
      <c r="K114" s="20" t="n"/>
      <c r="L114" s="19" t="n"/>
    </row>
    <row r="115">
      <c r="A115" s="20" t="n"/>
      <c r="B115" s="20" t="n"/>
      <c r="C115" s="20" t="n"/>
      <c r="D115" s="21" t="n"/>
      <c r="E115" s="19" t="n"/>
      <c r="F115" s="19" t="n"/>
      <c r="G115" s="20" t="n"/>
      <c r="H115" s="19" t="n"/>
      <c r="I115" s="19" t="n"/>
      <c r="J115" s="19" t="n"/>
      <c r="K115" s="20" t="n"/>
      <c r="L115" s="19" t="n"/>
    </row>
    <row r="116">
      <c r="A116" s="20" t="n"/>
      <c r="B116" s="20" t="n"/>
      <c r="C116" s="20" t="n"/>
      <c r="D116" s="21" t="n"/>
      <c r="E116" s="19" t="n"/>
      <c r="F116" s="19" t="n"/>
      <c r="G116" s="20" t="n"/>
      <c r="H116" s="19" t="n"/>
      <c r="I116" s="19" t="n"/>
      <c r="J116" s="19" t="n"/>
      <c r="K116" s="20" t="n"/>
      <c r="L116" s="19" t="n"/>
    </row>
    <row r="117">
      <c r="A117" s="20" t="n"/>
      <c r="B117" s="20" t="n"/>
      <c r="C117" s="20" t="n"/>
      <c r="D117" s="21" t="n"/>
      <c r="E117" s="19" t="n"/>
      <c r="F117" s="19" t="n"/>
      <c r="G117" s="20" t="n"/>
      <c r="H117" s="19" t="n"/>
      <c r="I117" s="19" t="n"/>
      <c r="J117" s="19" t="n"/>
      <c r="K117" s="20" t="n"/>
      <c r="L117" s="19" t="n"/>
    </row>
    <row r="118">
      <c r="A118" s="20" t="n"/>
      <c r="B118" s="20" t="n"/>
      <c r="C118" s="20" t="n"/>
      <c r="D118" s="21" t="n"/>
      <c r="E118" s="19" t="n"/>
      <c r="F118" s="19" t="n"/>
      <c r="G118" s="20" t="n"/>
      <c r="H118" s="19" t="n"/>
      <c r="I118" s="19" t="n"/>
      <c r="J118" s="19" t="n"/>
      <c r="K118" s="20" t="n"/>
      <c r="L118" s="19" t="n"/>
    </row>
    <row r="119">
      <c r="A119" s="20" t="n"/>
      <c r="B119" s="20" t="n"/>
      <c r="C119" s="20" t="n"/>
      <c r="D119" s="21" t="n"/>
      <c r="E119" s="19" t="n"/>
      <c r="F119" s="19" t="n"/>
      <c r="G119" s="20" t="n"/>
      <c r="H119" s="19" t="n"/>
      <c r="I119" s="19" t="n"/>
      <c r="J119" s="19" t="n"/>
      <c r="K119" s="20" t="n"/>
      <c r="L119" s="19" t="n"/>
    </row>
    <row r="120">
      <c r="A120" s="20" t="n"/>
      <c r="B120" s="20" t="n"/>
      <c r="C120" s="20" t="n"/>
      <c r="D120" s="21" t="n"/>
      <c r="E120" s="19" t="n"/>
      <c r="F120" s="19" t="n"/>
      <c r="G120" s="20" t="n"/>
      <c r="H120" s="19" t="n"/>
      <c r="I120" s="19" t="n"/>
      <c r="J120" s="19" t="n"/>
      <c r="K120" s="20" t="n"/>
      <c r="L120" s="19" t="n"/>
    </row>
    <row r="121">
      <c r="A121" s="20" t="n"/>
      <c r="B121" s="20" t="n"/>
      <c r="C121" s="20" t="n"/>
      <c r="D121" s="21" t="n"/>
      <c r="E121" s="19" t="n"/>
      <c r="F121" s="19" t="n"/>
      <c r="G121" s="20" t="n"/>
      <c r="H121" s="19" t="n"/>
      <c r="I121" s="19" t="n"/>
      <c r="J121" s="19" t="n"/>
      <c r="K121" s="20" t="n"/>
      <c r="L121" s="19" t="n"/>
    </row>
    <row r="122">
      <c r="A122" s="20" t="n"/>
      <c r="B122" s="20" t="n"/>
      <c r="C122" s="20" t="n"/>
      <c r="D122" s="21" t="n"/>
      <c r="E122" s="19" t="n"/>
      <c r="F122" s="19" t="n"/>
      <c r="G122" s="20" t="n"/>
      <c r="H122" s="19" t="n"/>
      <c r="I122" s="19" t="n"/>
      <c r="J122" s="19" t="n"/>
      <c r="K122" s="20" t="n"/>
      <c r="L122" s="19" t="n"/>
    </row>
    <row r="123">
      <c r="A123" s="20" t="n"/>
      <c r="B123" s="20" t="n"/>
      <c r="C123" s="20" t="n"/>
      <c r="D123" s="21" t="n"/>
      <c r="E123" s="19" t="n"/>
      <c r="F123" s="19" t="n"/>
      <c r="G123" s="20" t="n"/>
      <c r="H123" s="19" t="n"/>
      <c r="I123" s="19" t="n"/>
      <c r="J123" s="19" t="n"/>
      <c r="K123" s="20" t="n"/>
      <c r="L123" s="19" t="n"/>
    </row>
    <row r="124">
      <c r="A124" s="20" t="n"/>
      <c r="B124" s="20" t="n"/>
      <c r="C124" s="20" t="n"/>
      <c r="D124" s="21" t="n"/>
      <c r="E124" s="19" t="n"/>
      <c r="F124" s="19" t="n"/>
      <c r="G124" s="20" t="n"/>
      <c r="H124" s="19" t="n"/>
      <c r="I124" s="19" t="n"/>
      <c r="J124" s="19" t="n"/>
      <c r="K124" s="20" t="n"/>
      <c r="L124" s="19" t="n"/>
    </row>
    <row r="125">
      <c r="A125" s="20" t="n"/>
      <c r="B125" s="20" t="n"/>
      <c r="C125" s="20" t="n"/>
      <c r="D125" s="21" t="n"/>
      <c r="E125" s="19" t="n"/>
      <c r="F125" s="19" t="n"/>
      <c r="G125" s="20" t="n"/>
      <c r="H125" s="19" t="n"/>
      <c r="I125" s="19" t="n"/>
      <c r="J125" s="19" t="n"/>
      <c r="K125" s="20" t="n"/>
      <c r="L125" s="19" t="n"/>
    </row>
    <row r="126">
      <c r="A126" s="20" t="n"/>
      <c r="B126" s="20" t="n"/>
      <c r="C126" s="20" t="n"/>
      <c r="D126" s="21" t="n"/>
      <c r="E126" s="19" t="n"/>
      <c r="F126" s="19" t="n"/>
      <c r="G126" s="20" t="n"/>
      <c r="H126" s="19" t="n"/>
      <c r="I126" s="19" t="n"/>
      <c r="J126" s="19" t="n"/>
      <c r="K126" s="20" t="n"/>
      <c r="L126" s="19" t="n"/>
    </row>
    <row r="127">
      <c r="A127" s="20" t="n"/>
      <c r="B127" s="20" t="n"/>
      <c r="C127" s="20" t="n"/>
      <c r="D127" s="21" t="n"/>
      <c r="E127" s="19" t="n"/>
      <c r="F127" s="19" t="n"/>
      <c r="G127" s="20" t="n"/>
      <c r="H127" s="19" t="n"/>
      <c r="I127" s="19" t="n"/>
      <c r="J127" s="19" t="n"/>
      <c r="K127" s="20" t="n"/>
      <c r="L127" s="19" t="n"/>
    </row>
    <row r="128">
      <c r="A128" s="20" t="n"/>
      <c r="B128" s="20" t="n"/>
      <c r="C128" s="20" t="n"/>
      <c r="D128" s="21" t="n"/>
      <c r="E128" s="19" t="n"/>
      <c r="F128" s="19" t="n"/>
      <c r="G128" s="20" t="n"/>
      <c r="H128" s="19" t="n"/>
      <c r="I128" s="19" t="n"/>
      <c r="J128" s="19" t="n"/>
      <c r="K128" s="20" t="n"/>
      <c r="L128" s="19" t="n"/>
    </row>
    <row r="129">
      <c r="A129" s="20" t="n"/>
      <c r="B129" s="20" t="n"/>
      <c r="C129" s="20" t="n"/>
      <c r="D129" s="21" t="n"/>
      <c r="E129" s="19" t="n"/>
      <c r="F129" s="19" t="n"/>
      <c r="G129" s="20" t="n"/>
      <c r="H129" s="19" t="n"/>
      <c r="I129" s="19" t="n"/>
      <c r="J129" s="19" t="n"/>
      <c r="K129" s="20" t="n"/>
      <c r="L129" s="19" t="n"/>
    </row>
    <row r="130">
      <c r="A130" s="20" t="n"/>
      <c r="B130" s="20" t="n"/>
      <c r="C130" s="20" t="n"/>
      <c r="D130" s="21" t="n"/>
      <c r="E130" s="19" t="n"/>
      <c r="F130" s="19" t="n"/>
      <c r="G130" s="20" t="n"/>
      <c r="H130" s="19" t="n"/>
      <c r="I130" s="19" t="n"/>
      <c r="J130" s="19" t="n"/>
      <c r="K130" s="20" t="n"/>
      <c r="L130" s="19" t="n"/>
    </row>
    <row r="131">
      <c r="A131" s="20" t="n"/>
      <c r="B131" s="20" t="n"/>
      <c r="C131" s="20" t="n"/>
      <c r="D131" s="21" t="n"/>
      <c r="E131" s="19" t="n"/>
      <c r="F131" s="19" t="n"/>
      <c r="G131" s="20" t="n"/>
      <c r="H131" s="19" t="n"/>
      <c r="I131" s="19" t="n"/>
      <c r="J131" s="19" t="n"/>
      <c r="K131" s="20" t="n"/>
      <c r="L131" s="19" t="n"/>
    </row>
    <row r="132">
      <c r="A132" s="20" t="n"/>
      <c r="B132" s="20" t="n"/>
      <c r="C132" s="20" t="n"/>
      <c r="D132" s="21" t="n"/>
      <c r="E132" s="19" t="n"/>
      <c r="F132" s="19" t="n"/>
      <c r="G132" s="20" t="n"/>
      <c r="H132" s="19" t="n"/>
      <c r="I132" s="19" t="n"/>
      <c r="J132" s="19" t="n"/>
      <c r="K132" s="20" t="n"/>
      <c r="L132" s="19" t="n"/>
    </row>
    <row r="133">
      <c r="A133" s="20" t="n"/>
      <c r="B133" s="20" t="n"/>
      <c r="C133" s="20" t="n"/>
      <c r="D133" s="21" t="n"/>
      <c r="E133" s="19" t="n"/>
      <c r="F133" s="19" t="n"/>
      <c r="G133" s="20" t="n"/>
      <c r="H133" s="19" t="n"/>
      <c r="I133" s="19" t="n"/>
      <c r="J133" s="19" t="n"/>
      <c r="K133" s="20" t="n"/>
      <c r="L133" s="19" t="n"/>
    </row>
    <row r="134">
      <c r="A134" s="20" t="n"/>
      <c r="B134" s="20" t="n"/>
      <c r="C134" s="20" t="n"/>
      <c r="D134" s="21" t="n"/>
      <c r="E134" s="19" t="n"/>
      <c r="F134" s="19" t="n"/>
      <c r="G134" s="20" t="n"/>
      <c r="H134" s="19" t="n"/>
      <c r="I134" s="19" t="n"/>
      <c r="J134" s="19" t="n"/>
      <c r="K134" s="20" t="n"/>
      <c r="L134" s="19" t="n"/>
    </row>
    <row r="135">
      <c r="A135" s="20" t="n"/>
      <c r="B135" s="20" t="n"/>
      <c r="C135" s="20" t="n"/>
      <c r="D135" s="21" t="n"/>
      <c r="E135" s="19" t="n"/>
      <c r="F135" s="19" t="n"/>
      <c r="G135" s="20" t="n"/>
      <c r="H135" s="19" t="n"/>
      <c r="I135" s="19" t="n"/>
      <c r="J135" s="19" t="n"/>
      <c r="K135" s="20" t="n"/>
      <c r="L135" s="19" t="n"/>
    </row>
    <row r="136">
      <c r="A136" s="20" t="n"/>
      <c r="B136" s="20" t="n"/>
      <c r="C136" s="20" t="n"/>
      <c r="D136" s="21" t="n"/>
      <c r="E136" s="19" t="n"/>
      <c r="F136" s="19" t="n"/>
      <c r="G136" s="20" t="n"/>
      <c r="H136" s="19" t="n"/>
      <c r="I136" s="19" t="n"/>
      <c r="J136" s="19" t="n"/>
      <c r="K136" s="20" t="n"/>
      <c r="L136" s="19" t="n"/>
    </row>
    <row r="137">
      <c r="A137" s="20" t="n"/>
      <c r="B137" s="20" t="n"/>
      <c r="C137" s="20" t="n"/>
      <c r="D137" s="21" t="n"/>
      <c r="E137" s="19" t="n"/>
      <c r="F137" s="19" t="n"/>
      <c r="G137" s="20" t="n"/>
      <c r="H137" s="19" t="n"/>
      <c r="I137" s="19" t="n"/>
      <c r="J137" s="19" t="n"/>
      <c r="K137" s="20" t="n"/>
      <c r="L137" s="19" t="n"/>
    </row>
    <row r="138">
      <c r="A138" s="20" t="n"/>
      <c r="B138" s="20" t="n"/>
      <c r="C138" s="20" t="n"/>
      <c r="D138" s="21" t="n"/>
      <c r="E138" s="19" t="n"/>
      <c r="F138" s="19" t="n"/>
      <c r="G138" s="20" t="n"/>
      <c r="H138" s="19" t="n"/>
      <c r="I138" s="19" t="n"/>
      <c r="J138" s="19" t="n"/>
      <c r="K138" s="20" t="n"/>
      <c r="L138" s="19" t="n"/>
    </row>
    <row r="139">
      <c r="A139" s="20" t="n"/>
      <c r="B139" s="20" t="n"/>
      <c r="C139" s="20" t="n"/>
      <c r="D139" s="21" t="n"/>
      <c r="E139" s="19" t="n"/>
      <c r="F139" s="19" t="n"/>
      <c r="G139" s="20" t="n"/>
      <c r="H139" s="19" t="n"/>
      <c r="I139" s="19" t="n"/>
      <c r="J139" s="19" t="n"/>
      <c r="K139" s="20" t="n"/>
      <c r="L139" s="19" t="n"/>
    </row>
    <row r="140">
      <c r="A140" s="20" t="n"/>
      <c r="B140" s="20" t="n"/>
      <c r="C140" s="20" t="n"/>
      <c r="D140" s="21" t="n"/>
      <c r="E140" s="19" t="n"/>
      <c r="F140" s="19" t="n"/>
      <c r="G140" s="20" t="n"/>
      <c r="H140" s="19" t="n"/>
      <c r="I140" s="19" t="n"/>
      <c r="J140" s="19" t="n"/>
      <c r="K140" s="20" t="n"/>
      <c r="L140" s="19" t="n"/>
    </row>
    <row r="141">
      <c r="A141" s="20" t="n"/>
      <c r="B141" s="20" t="n"/>
      <c r="C141" s="20" t="n"/>
      <c r="D141" s="21" t="n"/>
      <c r="E141" s="19" t="n"/>
      <c r="F141" s="19" t="n"/>
      <c r="G141" s="20" t="n"/>
      <c r="H141" s="19" t="n"/>
      <c r="I141" s="19" t="n"/>
      <c r="J141" s="19" t="n"/>
      <c r="K141" s="20" t="n"/>
      <c r="L141" s="19" t="n"/>
    </row>
    <row r="142">
      <c r="A142" s="20" t="n"/>
      <c r="B142" s="20" t="n"/>
      <c r="C142" s="20" t="n"/>
      <c r="D142" s="21" t="n"/>
      <c r="E142" s="19" t="n"/>
      <c r="F142" s="19" t="n"/>
      <c r="G142" s="20" t="n"/>
      <c r="H142" s="19" t="n"/>
      <c r="I142" s="19" t="n"/>
      <c r="J142" s="19" t="n"/>
      <c r="K142" s="20" t="n"/>
      <c r="L142" s="19" t="n"/>
    </row>
    <row r="143">
      <c r="A143" s="20" t="n"/>
      <c r="B143" s="20" t="n"/>
      <c r="C143" s="20" t="n"/>
      <c r="D143" s="21" t="n"/>
      <c r="E143" s="19" t="n"/>
      <c r="F143" s="19" t="n"/>
      <c r="G143" s="20" t="n"/>
      <c r="H143" s="19" t="n"/>
      <c r="I143" s="19" t="n"/>
      <c r="J143" s="19" t="n"/>
      <c r="K143" s="20" t="n"/>
      <c r="L143" s="19" t="n"/>
    </row>
    <row r="144">
      <c r="A144" s="20" t="n"/>
      <c r="B144" s="20" t="n"/>
      <c r="C144" s="20" t="n"/>
      <c r="D144" s="21" t="n"/>
      <c r="E144" s="19" t="n"/>
      <c r="F144" s="19" t="n"/>
      <c r="G144" s="20" t="n"/>
      <c r="H144" s="19" t="n"/>
      <c r="I144" s="19" t="n"/>
      <c r="J144" s="19" t="n"/>
      <c r="K144" s="20" t="n"/>
      <c r="L144" s="19" t="n"/>
    </row>
    <row r="145">
      <c r="A145" s="20" t="n"/>
      <c r="B145" s="20" t="n"/>
      <c r="C145" s="20" t="n"/>
      <c r="D145" s="21" t="n"/>
      <c r="E145" s="19" t="n"/>
      <c r="F145" s="19" t="n"/>
      <c r="G145" s="20" t="n"/>
      <c r="H145" s="19" t="n"/>
      <c r="I145" s="19" t="n"/>
      <c r="J145" s="19" t="n"/>
      <c r="K145" s="20" t="n"/>
      <c r="L145" s="19" t="n"/>
    </row>
    <row r="146">
      <c r="A146" s="20" t="n"/>
      <c r="B146" s="20" t="n"/>
      <c r="C146" s="20" t="n"/>
      <c r="D146" s="21" t="n"/>
      <c r="E146" s="19" t="n"/>
      <c r="F146" s="19" t="n"/>
      <c r="G146" s="20" t="n"/>
      <c r="H146" s="19" t="n"/>
      <c r="I146" s="19" t="n"/>
      <c r="J146" s="19" t="n"/>
      <c r="K146" s="20" t="n"/>
      <c r="L146" s="19" t="n"/>
    </row>
    <row r="147">
      <c r="A147" s="20" t="n"/>
      <c r="B147" s="20" t="n"/>
      <c r="C147" s="20" t="n"/>
      <c r="D147" s="21" t="n"/>
      <c r="E147" s="19" t="n"/>
      <c r="F147" s="19" t="n"/>
      <c r="G147" s="20" t="n"/>
      <c r="H147" s="19" t="n"/>
      <c r="I147" s="19" t="n"/>
      <c r="J147" s="19" t="n"/>
      <c r="K147" s="20" t="n"/>
      <c r="L147" s="19" t="n"/>
    </row>
    <row r="148">
      <c r="A148" s="20" t="n"/>
      <c r="B148" s="20" t="n"/>
      <c r="C148" s="20" t="n"/>
      <c r="D148" s="21" t="n"/>
      <c r="E148" s="19" t="n"/>
      <c r="F148" s="19" t="n"/>
      <c r="G148" s="20" t="n"/>
      <c r="H148" s="19" t="n"/>
      <c r="I148" s="19" t="n"/>
      <c r="J148" s="19" t="n"/>
      <c r="K148" s="20" t="n"/>
      <c r="L148" s="19" t="n"/>
    </row>
    <row r="149">
      <c r="A149" s="20" t="n"/>
      <c r="B149" s="20" t="n"/>
      <c r="C149" s="20" t="n"/>
      <c r="D149" s="21" t="n"/>
      <c r="E149" s="19" t="n"/>
      <c r="F149" s="19" t="n"/>
      <c r="G149" s="20" t="n"/>
      <c r="H149" s="19" t="n"/>
      <c r="I149" s="19" t="n"/>
      <c r="J149" s="19" t="n"/>
      <c r="K149" s="20" t="n"/>
      <c r="L149" s="19" t="n"/>
    </row>
    <row r="150">
      <c r="A150" s="20" t="n"/>
      <c r="B150" s="20" t="n"/>
      <c r="C150" s="20" t="n"/>
      <c r="D150" s="21" t="n"/>
      <c r="E150" s="19" t="n"/>
      <c r="F150" s="19" t="n"/>
      <c r="G150" s="20" t="n"/>
      <c r="H150" s="19" t="n"/>
      <c r="I150" s="19" t="n"/>
      <c r="J150" s="19" t="n"/>
      <c r="K150" s="20" t="n"/>
      <c r="L150" s="19" t="n"/>
    </row>
    <row r="151">
      <c r="A151" s="20" t="n"/>
      <c r="B151" s="20" t="n"/>
      <c r="C151" s="20" t="n"/>
      <c r="D151" s="21" t="n"/>
      <c r="E151" s="19" t="n"/>
      <c r="F151" s="19" t="n"/>
      <c r="G151" s="20" t="n"/>
      <c r="H151" s="19" t="n"/>
      <c r="I151" s="19" t="n"/>
      <c r="J151" s="19" t="n"/>
      <c r="K151" s="20" t="n"/>
      <c r="L151" s="19" t="n"/>
    </row>
    <row r="152">
      <c r="A152" s="20" t="n"/>
      <c r="B152" s="20" t="n"/>
      <c r="C152" s="20" t="n"/>
      <c r="D152" s="21" t="n"/>
      <c r="E152" s="19" t="n"/>
      <c r="F152" s="19" t="n"/>
      <c r="G152" s="20" t="n"/>
      <c r="H152" s="19" t="n"/>
      <c r="I152" s="19" t="n"/>
      <c r="J152" s="19" t="n"/>
      <c r="K152" s="20" t="n"/>
      <c r="L152" s="19" t="n"/>
    </row>
    <row r="153">
      <c r="A153" s="20" t="n"/>
      <c r="B153" s="20" t="n"/>
      <c r="C153" s="20" t="n"/>
      <c r="D153" s="21" t="n"/>
      <c r="E153" s="19" t="n"/>
      <c r="F153" s="19" t="n"/>
      <c r="G153" s="20" t="n"/>
      <c r="H153" s="19" t="n"/>
      <c r="I153" s="19" t="n"/>
      <c r="J153" s="19" t="n"/>
      <c r="K153" s="20" t="n"/>
      <c r="L153" s="19" t="n"/>
    </row>
    <row r="154">
      <c r="A154" s="20" t="n"/>
      <c r="B154" s="20" t="n"/>
      <c r="C154" s="20" t="n"/>
      <c r="D154" s="21" t="n"/>
      <c r="E154" s="19" t="n"/>
      <c r="F154" s="19" t="n"/>
      <c r="G154" s="20" t="n"/>
      <c r="H154" s="19" t="n"/>
      <c r="I154" s="19" t="n"/>
      <c r="J154" s="19" t="n"/>
      <c r="K154" s="20" t="n"/>
      <c r="L154" s="19" t="n"/>
    </row>
    <row r="155">
      <c r="A155" s="20" t="n"/>
      <c r="B155" s="20" t="n"/>
      <c r="C155" s="20" t="n"/>
      <c r="D155" s="21" t="n"/>
      <c r="E155" s="19" t="n"/>
      <c r="F155" s="19" t="n"/>
      <c r="G155" s="20" t="n"/>
      <c r="H155" s="19" t="n"/>
      <c r="I155" s="19" t="n"/>
      <c r="J155" s="19" t="n"/>
      <c r="K155" s="20" t="n"/>
      <c r="L155" s="19" t="n"/>
    </row>
    <row r="156">
      <c r="A156" s="20" t="n"/>
      <c r="B156" s="20" t="n"/>
      <c r="C156" s="20" t="n"/>
      <c r="D156" s="21" t="n"/>
      <c r="E156" s="19" t="n"/>
      <c r="F156" s="19" t="n"/>
      <c r="G156" s="20" t="n"/>
      <c r="H156" s="19" t="n"/>
      <c r="I156" s="19" t="n"/>
      <c r="J156" s="19" t="n"/>
      <c r="K156" s="20" t="n"/>
      <c r="L156" s="19" t="n"/>
    </row>
    <row r="157">
      <c r="A157" s="20" t="n"/>
      <c r="B157" s="20" t="n"/>
      <c r="C157" s="20" t="n"/>
      <c r="D157" s="21" t="n"/>
      <c r="E157" s="19" t="n"/>
      <c r="F157" s="19" t="n"/>
      <c r="G157" s="20" t="n"/>
      <c r="H157" s="19" t="n"/>
      <c r="I157" s="19" t="n"/>
      <c r="J157" s="19" t="n"/>
      <c r="K157" s="20" t="n"/>
      <c r="L157" s="19" t="n"/>
    </row>
    <row r="158">
      <c r="A158" s="20" t="n"/>
      <c r="B158" s="20" t="n"/>
      <c r="C158" s="20" t="n"/>
      <c r="D158" s="21" t="n"/>
      <c r="E158" s="19" t="n"/>
      <c r="F158" s="19" t="n"/>
      <c r="G158" s="20" t="n"/>
      <c r="H158" s="19" t="n"/>
      <c r="I158" s="19" t="n"/>
      <c r="J158" s="19" t="n"/>
      <c r="K158" s="20" t="n"/>
      <c r="L158" s="19" t="n"/>
    </row>
    <row r="159">
      <c r="A159" s="20" t="n"/>
      <c r="B159" s="20" t="n"/>
      <c r="C159" s="20" t="n"/>
      <c r="D159" s="21" t="n"/>
      <c r="E159" s="19" t="n"/>
      <c r="F159" s="19" t="n"/>
      <c r="G159" s="20" t="n"/>
      <c r="H159" s="19" t="n"/>
      <c r="I159" s="19" t="n"/>
      <c r="J159" s="19" t="n"/>
      <c r="K159" s="20" t="n"/>
      <c r="L159" s="19" t="n"/>
    </row>
    <row r="160">
      <c r="A160" s="20" t="n"/>
      <c r="B160" s="20" t="n"/>
      <c r="C160" s="20" t="n"/>
      <c r="D160" s="21" t="n"/>
      <c r="E160" s="19" t="n"/>
      <c r="F160" s="19" t="n"/>
      <c r="G160" s="20" t="n"/>
      <c r="H160" s="19" t="n"/>
      <c r="I160" s="19" t="n"/>
      <c r="J160" s="19" t="n"/>
      <c r="K160" s="20" t="n"/>
      <c r="L160" s="19" t="n"/>
    </row>
    <row r="161">
      <c r="A161" s="20" t="n"/>
      <c r="B161" s="20" t="n"/>
      <c r="C161" s="20" t="n"/>
      <c r="D161" s="21" t="n"/>
      <c r="E161" s="19" t="n"/>
      <c r="F161" s="19" t="n"/>
      <c r="G161" s="20" t="n"/>
      <c r="H161" s="19" t="n"/>
      <c r="I161" s="19" t="n"/>
      <c r="J161" s="19" t="n"/>
      <c r="K161" s="20" t="n"/>
      <c r="L161" s="19" t="n"/>
    </row>
    <row r="162">
      <c r="A162" s="20" t="n"/>
      <c r="B162" s="20" t="n"/>
      <c r="C162" s="20" t="n"/>
      <c r="D162" s="21" t="n"/>
      <c r="E162" s="19" t="n"/>
      <c r="F162" s="19" t="n"/>
      <c r="G162" s="20" t="n"/>
      <c r="H162" s="19" t="n"/>
      <c r="I162" s="19" t="n"/>
      <c r="J162" s="19" t="n"/>
      <c r="K162" s="20" t="n"/>
      <c r="L162" s="19" t="n"/>
    </row>
    <row r="163">
      <c r="A163" s="20" t="n"/>
      <c r="B163" s="20" t="n"/>
      <c r="C163" s="20" t="n"/>
      <c r="D163" s="21" t="n"/>
      <c r="E163" s="19" t="n"/>
      <c r="F163" s="19" t="n"/>
      <c r="G163" s="20" t="n"/>
      <c r="H163" s="19" t="n"/>
      <c r="I163" s="19" t="n"/>
      <c r="J163" s="19" t="n"/>
      <c r="K163" s="20" t="n"/>
      <c r="L163" s="19" t="n"/>
    </row>
    <row r="164">
      <c r="A164" s="20" t="n"/>
      <c r="B164" s="20" t="n"/>
      <c r="C164" s="20" t="n"/>
      <c r="D164" s="21" t="n"/>
      <c r="E164" s="19" t="n"/>
      <c r="F164" s="19" t="n"/>
      <c r="G164" s="20" t="n"/>
      <c r="H164" s="19" t="n"/>
      <c r="I164" s="19" t="n"/>
      <c r="J164" s="19" t="n"/>
      <c r="K164" s="20" t="n"/>
      <c r="L164" s="19" t="n"/>
    </row>
    <row r="165">
      <c r="A165" s="20" t="n"/>
      <c r="B165" s="20" t="n"/>
      <c r="C165" s="20" t="n"/>
      <c r="D165" s="21" t="n"/>
      <c r="E165" s="19" t="n"/>
      <c r="F165" s="19" t="n"/>
      <c r="G165" s="20" t="n"/>
      <c r="H165" s="19" t="n"/>
      <c r="I165" s="19" t="n"/>
      <c r="J165" s="19" t="n"/>
      <c r="K165" s="20" t="n"/>
      <c r="L165" s="19" t="n"/>
    </row>
    <row r="166">
      <c r="A166" s="20" t="n"/>
      <c r="B166" s="20" t="n"/>
      <c r="C166" s="20" t="n"/>
      <c r="D166" s="21" t="n"/>
      <c r="E166" s="19" t="n"/>
      <c r="F166" s="19" t="n"/>
      <c r="G166" s="20" t="n"/>
      <c r="H166" s="19" t="n"/>
      <c r="I166" s="19" t="n"/>
      <c r="J166" s="19" t="n"/>
      <c r="K166" s="20" t="n"/>
      <c r="L166" s="19" t="n"/>
    </row>
    <row r="167">
      <c r="A167" s="20" t="n"/>
      <c r="B167" s="20" t="n"/>
      <c r="C167" s="20" t="n"/>
      <c r="D167" s="21" t="n"/>
      <c r="E167" s="19" t="n"/>
      <c r="F167" s="19" t="n"/>
      <c r="G167" s="20" t="n"/>
      <c r="H167" s="19" t="n"/>
      <c r="I167" s="19" t="n"/>
      <c r="J167" s="19" t="n"/>
      <c r="K167" s="20" t="n"/>
      <c r="L167" s="19" t="n"/>
    </row>
    <row r="168">
      <c r="A168" s="20" t="n"/>
      <c r="B168" s="20" t="n"/>
      <c r="C168" s="20" t="n"/>
      <c r="D168" s="21" t="n"/>
      <c r="E168" s="19" t="n"/>
      <c r="F168" s="19" t="n"/>
      <c r="G168" s="20" t="n"/>
      <c r="H168" s="19" t="n"/>
      <c r="I168" s="19" t="n"/>
      <c r="J168" s="19" t="n"/>
      <c r="K168" s="20" t="n"/>
      <c r="L168" s="19" t="n"/>
    </row>
    <row r="169">
      <c r="A169" s="20" t="n"/>
      <c r="B169" s="20" t="n"/>
      <c r="C169" s="20" t="n"/>
      <c r="D169" s="21" t="n"/>
      <c r="E169" s="19" t="n"/>
      <c r="F169" s="19" t="n"/>
      <c r="G169" s="20" t="n"/>
      <c r="H169" s="19" t="n"/>
      <c r="I169" s="19" t="n"/>
      <c r="J169" s="19" t="n"/>
      <c r="K169" s="20" t="n"/>
      <c r="L169" s="19" t="n"/>
    </row>
    <row r="170">
      <c r="A170" s="20" t="n"/>
      <c r="B170" s="20" t="n"/>
      <c r="C170" s="20" t="n"/>
      <c r="D170" s="21" t="n"/>
      <c r="E170" s="19" t="n"/>
      <c r="F170" s="19" t="n"/>
      <c r="G170" s="20" t="n"/>
      <c r="H170" s="19" t="n"/>
      <c r="I170" s="19" t="n"/>
      <c r="J170" s="19" t="n"/>
      <c r="K170" s="20" t="n"/>
      <c r="L170" s="19" t="n"/>
    </row>
    <row r="171">
      <c r="A171" s="20" t="n"/>
      <c r="B171" s="20" t="n"/>
      <c r="C171" s="20" t="n"/>
      <c r="D171" s="21" t="n"/>
      <c r="E171" s="19" t="n"/>
      <c r="F171" s="19" t="n"/>
      <c r="G171" s="20" t="n"/>
      <c r="H171" s="19" t="n"/>
      <c r="I171" s="19" t="n"/>
      <c r="J171" s="19" t="n"/>
      <c r="K171" s="20" t="n"/>
      <c r="L171" s="19" t="n"/>
    </row>
    <row r="172">
      <c r="A172" s="20" t="n"/>
      <c r="B172" s="20" t="n"/>
      <c r="C172" s="20" t="n"/>
      <c r="D172" s="21" t="n"/>
      <c r="E172" s="19" t="n"/>
      <c r="F172" s="19" t="n"/>
      <c r="G172" s="20" t="n"/>
      <c r="H172" s="19" t="n"/>
      <c r="I172" s="19" t="n"/>
      <c r="J172" s="19" t="n"/>
      <c r="K172" s="20" t="n"/>
      <c r="L172" s="19" t="n"/>
    </row>
    <row r="173">
      <c r="A173" s="20" t="n"/>
      <c r="B173" s="20" t="n"/>
      <c r="C173" s="20" t="n"/>
      <c r="D173" s="21" t="n"/>
      <c r="E173" s="19" t="n"/>
      <c r="F173" s="19" t="n"/>
      <c r="G173" s="20" t="n"/>
      <c r="H173" s="19" t="n"/>
      <c r="I173" s="19" t="n"/>
      <c r="J173" s="19" t="n"/>
      <c r="K173" s="20" t="n"/>
      <c r="L173" s="19" t="n"/>
    </row>
    <row r="174">
      <c r="A174" s="20" t="n"/>
      <c r="B174" s="20" t="n"/>
      <c r="C174" s="20" t="n"/>
      <c r="D174" s="21" t="n"/>
      <c r="E174" s="19" t="n"/>
      <c r="F174" s="19" t="n"/>
      <c r="G174" s="20" t="n"/>
      <c r="H174" s="19" t="n"/>
      <c r="I174" s="19" t="n"/>
      <c r="J174" s="19" t="n"/>
      <c r="K174" s="20" t="n"/>
      <c r="L174" s="19" t="n"/>
    </row>
    <row r="175">
      <c r="A175" s="20" t="n"/>
      <c r="B175" s="20" t="n"/>
      <c r="C175" s="20" t="n"/>
      <c r="D175" s="21" t="n"/>
      <c r="E175" s="19" t="n"/>
      <c r="F175" s="19" t="n"/>
      <c r="G175" s="20" t="n"/>
      <c r="H175" s="19" t="n"/>
      <c r="I175" s="19" t="n"/>
      <c r="J175" s="19" t="n"/>
      <c r="K175" s="20" t="n"/>
      <c r="L175" s="19" t="n"/>
    </row>
    <row r="176">
      <c r="A176" s="20" t="n"/>
      <c r="B176" s="20" t="n"/>
      <c r="C176" s="20" t="n"/>
      <c r="D176" s="21" t="n"/>
      <c r="E176" s="19" t="n"/>
      <c r="F176" s="19" t="n"/>
      <c r="G176" s="20" t="n"/>
      <c r="H176" s="19" t="n"/>
      <c r="I176" s="19" t="n"/>
      <c r="J176" s="19" t="n"/>
      <c r="K176" s="20" t="n"/>
      <c r="L176" s="19" t="n"/>
    </row>
    <row r="177">
      <c r="A177" s="20" t="n"/>
      <c r="B177" s="20" t="n"/>
      <c r="C177" s="20" t="n"/>
      <c r="D177" s="21" t="n"/>
      <c r="E177" s="19" t="n"/>
      <c r="F177" s="19" t="n"/>
      <c r="G177" s="20" t="n"/>
      <c r="H177" s="19" t="n"/>
      <c r="I177" s="19" t="n"/>
      <c r="J177" s="19" t="n"/>
      <c r="K177" s="20" t="n"/>
      <c r="L177" s="19" t="n"/>
    </row>
    <row r="178">
      <c r="A178" s="20" t="n"/>
      <c r="B178" s="20" t="n"/>
      <c r="C178" s="20" t="n"/>
      <c r="D178" s="21" t="n"/>
      <c r="E178" s="19" t="n"/>
      <c r="F178" s="19" t="n"/>
      <c r="G178" s="20" t="n"/>
      <c r="H178" s="19" t="n"/>
      <c r="I178" s="19" t="n"/>
      <c r="J178" s="19" t="n"/>
      <c r="K178" s="20" t="n"/>
      <c r="L178" s="19" t="n"/>
    </row>
    <row r="179">
      <c r="A179" s="20" t="n"/>
      <c r="B179" s="20" t="n"/>
      <c r="C179" s="20" t="n"/>
      <c r="D179" s="21" t="n"/>
      <c r="E179" s="19" t="n"/>
      <c r="F179" s="19" t="n"/>
      <c r="G179" s="20" t="n"/>
      <c r="H179" s="19" t="n"/>
      <c r="I179" s="19" t="n"/>
      <c r="J179" s="19" t="n"/>
      <c r="K179" s="20" t="n"/>
      <c r="L179" s="19" t="n"/>
    </row>
    <row r="180">
      <c r="A180" s="20" t="n"/>
      <c r="B180" s="20" t="n"/>
      <c r="C180" s="20" t="n"/>
      <c r="D180" s="21" t="n"/>
      <c r="E180" s="19" t="n"/>
      <c r="F180" s="19" t="n"/>
      <c r="G180" s="20" t="n"/>
      <c r="H180" s="19" t="n"/>
      <c r="I180" s="19" t="n"/>
      <c r="J180" s="19" t="n"/>
      <c r="K180" s="20" t="n"/>
      <c r="L180" s="19" t="n"/>
    </row>
    <row r="181">
      <c r="A181" s="20" t="n"/>
      <c r="B181" s="20" t="n"/>
      <c r="C181" s="20" t="n"/>
      <c r="D181" s="21" t="n"/>
      <c r="E181" s="19" t="n"/>
      <c r="F181" s="19" t="n"/>
      <c r="G181" s="20" t="n"/>
      <c r="H181" s="19" t="n"/>
      <c r="I181" s="19" t="n"/>
      <c r="J181" s="19" t="n"/>
      <c r="K181" s="20" t="n"/>
      <c r="L181" s="19" t="n"/>
    </row>
    <row r="182">
      <c r="A182" s="20" t="n"/>
      <c r="B182" s="20" t="n"/>
      <c r="C182" s="20" t="n"/>
      <c r="D182" s="21" t="n"/>
      <c r="E182" s="19" t="n"/>
      <c r="F182" s="19" t="n"/>
      <c r="G182" s="20" t="n"/>
      <c r="H182" s="19" t="n"/>
      <c r="I182" s="19" t="n"/>
      <c r="J182" s="19" t="n"/>
      <c r="K182" s="20" t="n"/>
      <c r="L182" s="19" t="n"/>
    </row>
    <row r="183">
      <c r="A183" s="20" t="n"/>
      <c r="B183" s="20" t="n"/>
      <c r="C183" s="20" t="n"/>
      <c r="D183" s="21" t="n"/>
      <c r="E183" s="19" t="n"/>
      <c r="F183" s="19" t="n"/>
      <c r="G183" s="20" t="n"/>
      <c r="H183" s="19" t="n"/>
      <c r="I183" s="19" t="n"/>
      <c r="J183" s="19" t="n"/>
      <c r="K183" s="20" t="n"/>
      <c r="L183" s="19" t="n"/>
    </row>
    <row r="184">
      <c r="A184" s="20" t="n"/>
      <c r="B184" s="20" t="n"/>
      <c r="C184" s="20" t="n"/>
      <c r="D184" s="21" t="n"/>
      <c r="E184" s="19" t="n"/>
      <c r="F184" s="19" t="n"/>
      <c r="G184" s="20" t="n"/>
      <c r="H184" s="19" t="n"/>
      <c r="I184" s="19" t="n"/>
      <c r="J184" s="19" t="n"/>
      <c r="K184" s="20" t="n"/>
      <c r="L184" s="19" t="n"/>
    </row>
    <row r="185">
      <c r="A185" s="20" t="n"/>
      <c r="B185" s="20" t="n"/>
      <c r="C185" s="20" t="n"/>
      <c r="D185" s="21" t="n"/>
      <c r="E185" s="19" t="n"/>
      <c r="F185" s="19" t="n"/>
      <c r="G185" s="20" t="n"/>
      <c r="H185" s="19" t="n"/>
      <c r="I185" s="19" t="n"/>
      <c r="J185" s="19" t="n"/>
      <c r="K185" s="20" t="n"/>
      <c r="L185" s="19" t="n"/>
    </row>
    <row r="186">
      <c r="A186" s="20" t="n"/>
      <c r="B186" s="20" t="n"/>
      <c r="C186" s="20" t="n"/>
      <c r="D186" s="21" t="n"/>
      <c r="E186" s="19" t="n"/>
      <c r="F186" s="19" t="n"/>
      <c r="G186" s="20" t="n"/>
      <c r="H186" s="19" t="n"/>
      <c r="I186" s="19" t="n"/>
      <c r="J186" s="19" t="n"/>
      <c r="K186" s="20" t="n"/>
      <c r="L186" s="19" t="n"/>
    </row>
    <row r="187">
      <c r="A187" s="20" t="n"/>
      <c r="B187" s="20" t="n"/>
      <c r="C187" s="20" t="n"/>
      <c r="D187" s="21" t="n"/>
      <c r="E187" s="19" t="n"/>
      <c r="F187" s="19" t="n"/>
      <c r="G187" s="20" t="n"/>
      <c r="H187" s="19" t="n"/>
      <c r="I187" s="19" t="n"/>
      <c r="J187" s="19" t="n"/>
      <c r="K187" s="20" t="n"/>
      <c r="L187" s="19" t="n"/>
    </row>
    <row r="188">
      <c r="A188" s="20" t="n"/>
      <c r="B188" s="20" t="n"/>
      <c r="C188" s="20" t="n"/>
      <c r="D188" s="21" t="n"/>
      <c r="E188" s="19" t="n"/>
      <c r="F188" s="19" t="n"/>
      <c r="G188" s="20" t="n"/>
      <c r="H188" s="19" t="n"/>
      <c r="I188" s="19" t="n"/>
      <c r="J188" s="19" t="n"/>
      <c r="K188" s="20" t="n"/>
      <c r="L188" s="19" t="n"/>
    </row>
    <row r="189">
      <c r="A189" s="20" t="n"/>
      <c r="B189" s="20" t="n"/>
      <c r="C189" s="20" t="n"/>
      <c r="D189" s="21" t="n"/>
      <c r="E189" s="19" t="n"/>
      <c r="F189" s="19" t="n"/>
      <c r="G189" s="20" t="n"/>
      <c r="H189" s="19" t="n"/>
      <c r="I189" s="19" t="n"/>
      <c r="J189" s="19" t="n"/>
      <c r="K189" s="20" t="n"/>
      <c r="L189" s="19" t="n"/>
    </row>
    <row r="190">
      <c r="A190" s="20" t="n"/>
      <c r="B190" s="20" t="n"/>
      <c r="C190" s="20" t="n"/>
      <c r="D190" s="21" t="n"/>
      <c r="E190" s="19" t="n"/>
      <c r="F190" s="19" t="n"/>
      <c r="G190" s="20" t="n"/>
      <c r="H190" s="19" t="n"/>
      <c r="I190" s="19" t="n"/>
      <c r="J190" s="19" t="n"/>
      <c r="K190" s="20" t="n"/>
      <c r="L190" s="19" t="n"/>
    </row>
    <row r="191">
      <c r="A191" s="20" t="n"/>
      <c r="B191" s="20" t="n"/>
      <c r="C191" s="20" t="n"/>
      <c r="D191" s="21" t="n"/>
      <c r="E191" s="19" t="n"/>
      <c r="F191" s="19" t="n"/>
      <c r="G191" s="20" t="n"/>
      <c r="H191" s="19" t="n"/>
      <c r="I191" s="19" t="n"/>
      <c r="J191" s="19" t="n"/>
      <c r="K191" s="20" t="n"/>
      <c r="L191" s="19" t="n"/>
    </row>
    <row r="192">
      <c r="A192" s="20" t="n"/>
      <c r="B192" s="20" t="n"/>
      <c r="C192" s="20" t="n"/>
      <c r="D192" s="21" t="n"/>
      <c r="E192" s="19" t="n"/>
      <c r="F192" s="19" t="n"/>
      <c r="G192" s="20" t="n"/>
      <c r="H192" s="19" t="n"/>
      <c r="I192" s="19" t="n"/>
      <c r="J192" s="19" t="n"/>
      <c r="K192" s="20" t="n"/>
      <c r="L192" s="19" t="n"/>
    </row>
    <row r="193">
      <c r="A193" s="20" t="n"/>
      <c r="B193" s="20" t="n"/>
      <c r="C193" s="20" t="n"/>
      <c r="D193" s="21" t="n"/>
      <c r="E193" s="19" t="n"/>
      <c r="F193" s="19" t="n"/>
      <c r="G193" s="20" t="n"/>
      <c r="H193" s="19" t="n"/>
      <c r="I193" s="19" t="n"/>
      <c r="J193" s="19" t="n"/>
      <c r="K193" s="20" t="n"/>
      <c r="L193" s="19" t="n"/>
    </row>
    <row r="194">
      <c r="A194" s="20" t="n"/>
      <c r="B194" s="20" t="n"/>
      <c r="C194" s="20" t="n"/>
      <c r="D194" s="21" t="n"/>
      <c r="E194" s="19" t="n"/>
      <c r="F194" s="19" t="n"/>
      <c r="G194" s="20" t="n"/>
      <c r="H194" s="19" t="n"/>
      <c r="I194" s="19" t="n"/>
      <c r="J194" s="19" t="n"/>
      <c r="K194" s="20" t="n"/>
      <c r="L194" s="19" t="n"/>
    </row>
    <row r="195">
      <c r="A195" s="20" t="n"/>
      <c r="B195" s="20" t="n"/>
      <c r="C195" s="20" t="n"/>
      <c r="D195" s="21" t="n"/>
      <c r="E195" s="19" t="n"/>
      <c r="F195" s="19" t="n"/>
      <c r="G195" s="20" t="n"/>
      <c r="H195" s="19" t="n"/>
      <c r="I195" s="19" t="n"/>
      <c r="J195" s="19" t="n"/>
      <c r="K195" s="20" t="n"/>
      <c r="L195" s="19" t="n"/>
    </row>
    <row r="196">
      <c r="A196" s="20" t="n"/>
      <c r="B196" s="20" t="n"/>
      <c r="C196" s="20" t="n"/>
      <c r="D196" s="21" t="n"/>
      <c r="E196" s="19" t="n"/>
      <c r="F196" s="19" t="n"/>
      <c r="G196" s="20" t="n"/>
      <c r="H196" s="19" t="n"/>
      <c r="I196" s="19" t="n"/>
      <c r="J196" s="19" t="n"/>
      <c r="K196" s="20" t="n"/>
      <c r="L196" s="19" t="n"/>
    </row>
    <row r="197">
      <c r="A197" s="20" t="n"/>
      <c r="B197" s="20" t="n"/>
      <c r="C197" s="20" t="n"/>
      <c r="D197" s="21" t="n"/>
      <c r="E197" s="19" t="n"/>
      <c r="F197" s="19" t="n"/>
      <c r="G197" s="20" t="n"/>
      <c r="H197" s="19" t="n"/>
      <c r="I197" s="19" t="n"/>
      <c r="J197" s="19" t="n"/>
      <c r="K197" s="20" t="n"/>
      <c r="L197" s="19" t="n"/>
    </row>
    <row r="198">
      <c r="A198" s="20" t="n"/>
      <c r="B198" s="20" t="n"/>
      <c r="C198" s="20" t="n"/>
      <c r="D198" s="21" t="n"/>
      <c r="E198" s="19" t="n"/>
      <c r="F198" s="19" t="n"/>
      <c r="G198" s="20" t="n"/>
      <c r="H198" s="19" t="n"/>
      <c r="I198" s="19" t="n"/>
      <c r="J198" s="19" t="n"/>
      <c r="K198" s="20" t="n"/>
      <c r="L198" s="19" t="n"/>
    </row>
    <row r="199">
      <c r="A199" s="20" t="n"/>
      <c r="B199" s="20" t="n"/>
      <c r="C199" s="20" t="n"/>
      <c r="D199" s="21" t="n"/>
      <c r="E199" s="19" t="n"/>
      <c r="F199" s="19" t="n"/>
      <c r="G199" s="20" t="n"/>
      <c r="H199" s="19" t="n"/>
      <c r="I199" s="19" t="n"/>
      <c r="J199" s="19" t="n"/>
      <c r="K199" s="20" t="n"/>
      <c r="L199" s="19" t="n"/>
    </row>
    <row r="200">
      <c r="A200" s="20" t="n"/>
      <c r="B200" s="20" t="n"/>
      <c r="C200" s="20" t="n"/>
      <c r="D200" s="21" t="n"/>
      <c r="E200" s="19" t="n"/>
      <c r="F200" s="19" t="n"/>
      <c r="G200" s="20" t="n"/>
      <c r="H200" s="19" t="n"/>
      <c r="I200" s="19" t="n"/>
      <c r="J200" s="19" t="n"/>
      <c r="K200" s="20" t="n"/>
      <c r="L200" s="19" t="n"/>
    </row>
  </sheetData>
  <dataValidations count="4">
    <dataValidation sqref="C5:C200" showDropDown="0" showInputMessage="1" showErrorMessage="1" allowBlank="1" type="list">
      <formula1>"UAT,Training,Production"</formula1>
    </dataValidation>
    <dataValidation sqref="G5:G200" showDropDown="0" showInputMessage="1" showErrorMessage="1" allowBlank="1" type="list">
      <formula1>"Critical,High,Medium,Low"</formula1>
    </dataValidation>
    <dataValidation sqref="K5:K200" showDropDown="0" showInputMessage="1" showErrorMessage="1" allowBlank="1" type="list">
      <formula1>"New,In progress,Fixed,Verified,Won't fix"</formula1>
    </dataValidation>
    <dataValidation sqref="H5:H200" showDropDown="0" showInputMessage="1" showErrorMessage="1" allowBlank="1" type="list">
      <formula1>"Requirement / AC ไม่ครอบคลุม,ข้อมูลทดสอบไม่ครบ,เทสเคสไม่ครอบคลุม,เวลาทดสอบไม่เพียงพอ,อื่นๆ / ยังไม่ระบุ"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E18" sqref="E18"/>
    </sheetView>
  </sheetViews>
  <sheetFormatPr baseColWidth="10" defaultColWidth="8.83203125" defaultRowHeight="15"/>
  <cols>
    <col width="27.6640625" customWidth="1" style="49" min="1" max="1"/>
    <col width="18.1640625" customWidth="1" style="49" min="2" max="2"/>
    <col width="17.5" customWidth="1" style="49" min="3" max="3"/>
    <col width="15.5" customWidth="1" style="49" min="4" max="8"/>
  </cols>
  <sheetData>
    <row r="1" ht="18.75" customHeight="1" s="49">
      <c r="A1" s="8" t="inlineStr">
        <is>
          <t>Bug Dashboard – สรุปแนวโน้มคุณภาพ</t>
        </is>
      </c>
    </row>
    <row r="2">
      <c r="A2" s="18" t="inlineStr">
        <is>
          <t>ทุกตัวเลขคำนวณอัตโนมัติจากหน้า Bug Log — เพิ่มรอบใหม่ได้ที่คอลัมน์ A</t>
        </is>
      </c>
    </row>
    <row r="4" ht="15.75" customHeight="1" s="49">
      <c r="A4" s="23" t="inlineStr">
        <is>
          <t>1. สรุปรายรอบส่งงาน</t>
        </is>
      </c>
    </row>
    <row r="5" ht="16.5" customHeight="1" s="49">
      <c r="A5" s="26" t="inlineStr">
        <is>
          <t>รอบที่ส่ง</t>
        </is>
      </c>
      <c r="B5" s="26" t="inlineStr">
        <is>
          <t>Critical</t>
        </is>
      </c>
      <c r="C5" s="26" t="inlineStr">
        <is>
          <t>High</t>
        </is>
      </c>
      <c r="D5" s="26" t="inlineStr">
        <is>
          <t>Medium</t>
        </is>
      </c>
      <c r="E5" s="26" t="inlineStr">
        <is>
          <t>Low</t>
        </is>
      </c>
      <c r="F5" s="26" t="inlineStr">
        <is>
          <t>รวม bug</t>
        </is>
      </c>
      <c r="G5" s="26" t="inlineStr">
        <is>
          <t>แก้แล้ว</t>
        </is>
      </c>
      <c r="H5" s="26" t="inlineStr">
        <is>
          <t>คงเหลือ</t>
        </is>
      </c>
    </row>
    <row r="6" ht="16" customHeight="1" s="49">
      <c r="A6" s="32" t="inlineStr">
        <is>
          <t>D4-1</t>
        </is>
      </c>
      <c r="B6" s="25">
        <f>COUNTIFS('Bug Log'!$B$5:$B$200,$A6,'Bug Log'!$G$5:$G$200,B$5)</f>
        <v/>
      </c>
      <c r="C6" s="25">
        <f>COUNTIFS('Bug Log'!$B$5:$B$200,$A6,'Bug Log'!$G$5:$G$200,C$5)</f>
        <v/>
      </c>
      <c r="D6" s="25">
        <f>COUNTIFS('Bug Log'!$B$5:$B$200,$A6,'Bug Log'!$G$5:$G$200,D$5)</f>
        <v/>
      </c>
      <c r="E6" s="25">
        <f>COUNTIFS('Bug Log'!$B$5:$B$200,$A6,'Bug Log'!$G$5:$G$200,E$5)</f>
        <v/>
      </c>
      <c r="F6" s="28">
        <f>SUM(B6:E6)</f>
        <v/>
      </c>
      <c r="G6" s="25">
        <f>COUNTIFS('Bug Log'!$B$5:$B$200,$A6,'Bug Log'!$K$5:$K$200,"Fixed")+COUNTIFS('Bug Log'!$B$5:$B$200,$A6,'Bug Log'!$K$5:$K$200,"Verified")</f>
        <v/>
      </c>
      <c r="H6" s="25">
        <f>F6-G6</f>
        <v/>
      </c>
    </row>
    <row r="7" ht="16" customHeight="1" s="49">
      <c r="A7" s="32" t="inlineStr">
        <is>
          <t>D4-2</t>
        </is>
      </c>
      <c r="B7" s="25">
        <f>COUNTIFS('Bug Log'!$B$5:$B$200,$A7,'Bug Log'!$G$5:$G$200,B$5)</f>
        <v/>
      </c>
      <c r="C7" s="25">
        <f>COUNTIFS('Bug Log'!$B$5:$B$200,$A7,'Bug Log'!$G$5:$G$200,C$5)</f>
        <v/>
      </c>
      <c r="D7" s="25">
        <f>COUNTIFS('Bug Log'!$B$5:$B$200,$A7,'Bug Log'!$G$5:$G$200,D$5)</f>
        <v/>
      </c>
      <c r="E7" s="25">
        <f>COUNTIFS('Bug Log'!$B$5:$B$200,$A7,'Bug Log'!$G$5:$G$200,E$5)</f>
        <v/>
      </c>
      <c r="F7" s="28">
        <f>SUM(B7:E7)</f>
        <v/>
      </c>
      <c r="G7" s="25">
        <f>COUNTIFS('Bug Log'!$B$5:$B$200,$A7,'Bug Log'!$K$5:$K$200,"Fixed")+COUNTIFS('Bug Log'!$B$5:$B$200,$A7,'Bug Log'!$K$5:$K$200,"Verified")</f>
        <v/>
      </c>
      <c r="H7" s="25">
        <f>F7-G7</f>
        <v/>
      </c>
    </row>
    <row r="8" ht="16" customHeight="1" s="49">
      <c r="A8" s="32" t="inlineStr">
        <is>
          <t>D4-3</t>
        </is>
      </c>
      <c r="B8" s="25">
        <f>COUNTIFS('Bug Log'!$B$5:$B$200,$A8,'Bug Log'!$G$5:$G$200,B$5)</f>
        <v/>
      </c>
      <c r="C8" s="25">
        <f>COUNTIFS('Bug Log'!$B$5:$B$200,$A8,'Bug Log'!$G$5:$G$200,C$5)</f>
        <v/>
      </c>
      <c r="D8" s="25">
        <f>COUNTIFS('Bug Log'!$B$5:$B$200,$A8,'Bug Log'!$G$5:$G$200,D$5)</f>
        <v/>
      </c>
      <c r="E8" s="25">
        <f>COUNTIFS('Bug Log'!$B$5:$B$200,$A8,'Bug Log'!$G$5:$G$200,E$5)</f>
        <v/>
      </c>
      <c r="F8" s="28">
        <f>SUM(B8:E8)</f>
        <v/>
      </c>
      <c r="G8" s="25">
        <f>COUNTIFS('Bug Log'!$B$5:$B$200,$A8,'Bug Log'!$K$5:$K$200,"Fixed")+COUNTIFS('Bug Log'!$B$5:$B$200,$A8,'Bug Log'!$K$5:$K$200,"Verified")</f>
        <v/>
      </c>
      <c r="H8" s="25">
        <f>F8-G8</f>
        <v/>
      </c>
    </row>
    <row r="9" ht="16" customHeight="1" s="49">
      <c r="A9" s="32" t="inlineStr">
        <is>
          <t>D4-4</t>
        </is>
      </c>
      <c r="B9" s="25">
        <f>COUNTIFS('Bug Log'!$B$5:$B$200,$A9,'Bug Log'!$G$5:$G$200,B$5)</f>
        <v/>
      </c>
      <c r="C9" s="25">
        <f>COUNTIFS('Bug Log'!$B$5:$B$200,$A9,'Bug Log'!$G$5:$G$200,C$5)</f>
        <v/>
      </c>
      <c r="D9" s="25">
        <f>COUNTIFS('Bug Log'!$B$5:$B$200,$A9,'Bug Log'!$G$5:$G$200,D$5)</f>
        <v/>
      </c>
      <c r="E9" s="25">
        <f>COUNTIFS('Bug Log'!$B$5:$B$200,$A9,'Bug Log'!$G$5:$G$200,E$5)</f>
        <v/>
      </c>
      <c r="F9" s="28">
        <f>SUM(B9:E9)</f>
        <v/>
      </c>
      <c r="G9" s="25">
        <f>COUNTIFS('Bug Log'!$B$5:$B$200,$A9,'Bug Log'!$K$5:$K$200,"Fixed")+COUNTIFS('Bug Log'!$B$5:$B$200,$A9,'Bug Log'!$K$5:$K$200,"Verified")</f>
        <v/>
      </c>
      <c r="H9" s="25">
        <f>F9-G9</f>
        <v/>
      </c>
    </row>
    <row r="11" ht="15.75" customHeight="1" s="49">
      <c r="A11" s="23" t="inlineStr">
        <is>
          <t>2. แยกตามประเภทการส่ง</t>
        </is>
      </c>
    </row>
    <row r="12" ht="16.5" customHeight="1" s="49">
      <c r="A12" s="26" t="inlineStr">
        <is>
          <t>ประเภท</t>
        </is>
      </c>
      <c r="B12" s="26" t="inlineStr">
        <is>
          <t>จำนวน bug</t>
        </is>
      </c>
      <c r="C12" s="26" t="inlineStr">
        <is>
          <t>สัดส่วน</t>
        </is>
      </c>
    </row>
    <row r="13">
      <c r="A13" s="24" t="inlineStr">
        <is>
          <t>UAT</t>
        </is>
      </c>
      <c r="B13" s="25">
        <f>COUNTIF('Bug Log'!$C$5:$C$200,$A13)</f>
        <v/>
      </c>
      <c r="C13" s="27">
        <f>IFERROR(B13/$B$16,0)</f>
        <v/>
      </c>
    </row>
    <row r="14">
      <c r="A14" s="24" t="inlineStr">
        <is>
          <t>Training</t>
        </is>
      </c>
      <c r="B14" s="25">
        <f>COUNTIF('Bug Log'!$C$5:$C$200,$A14)</f>
        <v/>
      </c>
      <c r="C14" s="27">
        <f>IFERROR(B14/$B$16,0)</f>
        <v/>
      </c>
    </row>
    <row r="15">
      <c r="A15" s="24" t="inlineStr">
        <is>
          <t>Production</t>
        </is>
      </c>
      <c r="B15" s="25">
        <f>COUNTIF('Bug Log'!$C$5:$C$200,$A15)</f>
        <v/>
      </c>
      <c r="C15" s="27">
        <f>IFERROR(B15/$B$16,0)</f>
        <v/>
      </c>
    </row>
    <row r="16">
      <c r="A16" s="29" t="inlineStr">
        <is>
          <t>รวม</t>
        </is>
      </c>
      <c r="B16" s="30">
        <f>SUM(B13:B15)</f>
        <v/>
      </c>
      <c r="C16" s="31">
        <f>IFERROR(SUM(C13:C15),0)</f>
        <v/>
      </c>
    </row>
    <row r="18" ht="15.75" customHeight="1" s="49">
      <c r="A18" s="23" t="inlineStr">
        <is>
          <t>3. สาเหตุที่ bug หลุด (จุดที่ควรปรับปรุง)</t>
        </is>
      </c>
    </row>
    <row r="19" ht="16.5" customHeight="1" s="49">
      <c r="A19" s="26" t="inlineStr">
        <is>
          <t>หมวดสาเหตุ</t>
        </is>
      </c>
      <c r="B19" s="26" t="inlineStr">
        <is>
          <t>จำนวน bug</t>
        </is>
      </c>
      <c r="C19" s="26" t="inlineStr">
        <is>
          <t>สัดส่วน</t>
        </is>
      </c>
    </row>
    <row r="20">
      <c r="A20" s="24" t="inlineStr">
        <is>
          <t>Requirement / AC ไม่ครอบคลุม</t>
        </is>
      </c>
      <c r="B20" s="25">
        <f>COUNTIF('Bug Log'!$H$5:$H$200,$A20)</f>
        <v/>
      </c>
      <c r="C20" s="27">
        <f>IFERROR(B20/$B$25,0)</f>
        <v/>
      </c>
    </row>
    <row r="21">
      <c r="A21" s="24" t="inlineStr">
        <is>
          <t>ข้อมูลทดสอบไม่ครบ</t>
        </is>
      </c>
      <c r="B21" s="25">
        <f>COUNTIF('Bug Log'!$H$5:$H$200,$A21)</f>
        <v/>
      </c>
      <c r="C21" s="27">
        <f>IFERROR(B21/$B$25,0)</f>
        <v/>
      </c>
    </row>
    <row r="22">
      <c r="A22" s="24" t="inlineStr">
        <is>
          <t>เทสเคสไม่ครอบคลุม</t>
        </is>
      </c>
      <c r="B22" s="25">
        <f>COUNTIF('Bug Log'!$H$5:$H$200,$A22)</f>
        <v/>
      </c>
      <c r="C22" s="27">
        <f>IFERROR(B22/$B$25,0)</f>
        <v/>
      </c>
    </row>
    <row r="23">
      <c r="A23" s="24" t="inlineStr">
        <is>
          <t>เวลาทดสอบไม่เพียงพอ</t>
        </is>
      </c>
      <c r="B23" s="25">
        <f>COUNTIF('Bug Log'!$H$5:$H$200,$A23)</f>
        <v/>
      </c>
      <c r="C23" s="27">
        <f>IFERROR(B23/$B$25,0)</f>
        <v/>
      </c>
    </row>
    <row r="24">
      <c r="A24" s="24" t="inlineStr">
        <is>
          <t>อื่นๆ / ยังไม่ระบุ</t>
        </is>
      </c>
      <c r="B24" s="25">
        <f>$B$25-SUM(B20:B23)</f>
        <v/>
      </c>
      <c r="C24" s="27">
        <f>IFERROR(B24/$B$25,0)</f>
        <v/>
      </c>
    </row>
    <row r="25">
      <c r="A25" s="29" t="inlineStr">
        <is>
          <t>รวม</t>
        </is>
      </c>
      <c r="B25" s="30">
        <f>COUNTA('Bug Log'!$A$5:$A$200)</f>
        <v/>
      </c>
      <c r="C25" s="31">
        <f>IFERROR(SUM(C20:C24),0)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2026-08-18T06:10:11Z</dcterms:created>
  <dcterms:modified xmlns:dcterms="http://purl.org/dc/terms/" xmlns:xsi="http://www.w3.org/2001/XMLSchema-instance" xsi:type="dcterms:W3CDTF">2026-08-21T16:39:19Z</dcterms:modified>
  <cp:lastModifiedBy>Neranchara Kaewsiri (Ne)</cp:lastModifiedBy>
</cp:coreProperties>
</file>